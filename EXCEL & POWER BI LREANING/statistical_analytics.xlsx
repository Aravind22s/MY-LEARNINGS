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ravi\Downloads\"/>
    </mc:Choice>
  </mc:AlternateContent>
  <xr:revisionPtr revIDLastSave="0" documentId="13_ncr:1_{91F183B3-50A3-469E-93C0-9848BBA49417}" xr6:coauthVersionLast="47" xr6:coauthVersionMax="47" xr10:uidLastSave="{00000000-0000-0000-0000-000000000000}"/>
  <bookViews>
    <workbookView xWindow="-120" yWindow="-120" windowWidth="20730" windowHeight="11040" tabRatio="500" firstSheet="3" activeTab="7" xr2:uid="{00000000-000D-0000-FFFF-FFFF00000000}"/>
  </bookViews>
  <sheets>
    <sheet name="Start Here" sheetId="1" r:id="rId1"/>
    <sheet name="1. T-Test (2-sample)" sheetId="2" r:id="rId2"/>
    <sheet name="2. T-Test (paired)" sheetId="3" r:id="rId3"/>
    <sheet name="3. ANOVA" sheetId="4" r:id="rId4"/>
    <sheet name="4. Chi-Square" sheetId="5" r:id="rId5"/>
    <sheet name="5. Correlation" sheetId="6" r:id="rId6"/>
    <sheet name="6. Regression" sheetId="7" r:id="rId7"/>
    <sheet name="7. F-Test" sheetId="8" r:id="rId8"/>
  </sheets>
  <calcPr calcId="191029"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29" i="8" l="1"/>
  <c r="B31" i="8" s="1"/>
  <c r="B28" i="8"/>
  <c r="B27" i="8"/>
  <c r="B26" i="8"/>
  <c r="B25" i="8"/>
  <c r="B29" i="6"/>
  <c r="B30" i="6" s="1"/>
  <c r="B31" i="6" s="1"/>
  <c r="B33" i="6" s="1"/>
  <c r="B28" i="6"/>
  <c r="B19" i="5"/>
  <c r="E13" i="5"/>
  <c r="C18" i="5" s="1"/>
  <c r="D13" i="5"/>
  <c r="D18" i="5" s="1"/>
  <c r="C13" i="5"/>
  <c r="C17" i="5" s="1"/>
  <c r="B13" i="5"/>
  <c r="B20" i="5" s="1"/>
  <c r="E12" i="5"/>
  <c r="D20" i="5" s="1"/>
  <c r="E11" i="5"/>
  <c r="D19" i="5" s="1"/>
  <c r="E10" i="5"/>
  <c r="B18" i="5" s="1"/>
  <c r="E9" i="5"/>
  <c r="B17" i="5" s="1"/>
  <c r="E21" i="4"/>
  <c r="D21" i="4"/>
  <c r="C21" i="4"/>
  <c r="B21" i="4"/>
  <c r="E20" i="4"/>
  <c r="D20" i="4"/>
  <c r="C20" i="4"/>
  <c r="B20" i="4"/>
  <c r="B28" i="3"/>
  <c r="B30" i="3" s="1"/>
  <c r="B26" i="3"/>
  <c r="B25" i="3"/>
  <c r="D22" i="3"/>
  <c r="D21" i="3"/>
  <c r="D20" i="3"/>
  <c r="D19" i="3"/>
  <c r="D18" i="3"/>
  <c r="D17" i="3"/>
  <c r="D16" i="3"/>
  <c r="D15" i="3"/>
  <c r="D14" i="3"/>
  <c r="D13" i="3"/>
  <c r="D12" i="3"/>
  <c r="D11" i="3"/>
  <c r="D10" i="3"/>
  <c r="D9" i="3"/>
  <c r="D8" i="3"/>
  <c r="B27" i="3" s="1"/>
  <c r="B34" i="2"/>
  <c r="B36" i="2" s="1"/>
  <c r="B33" i="2"/>
  <c r="B32" i="2"/>
  <c r="B31" i="2"/>
  <c r="B30" i="2"/>
  <c r="B23" i="5" l="1"/>
  <c r="B25" i="5" s="1"/>
  <c r="D17" i="5"/>
  <c r="C20" i="5"/>
  <c r="C19" i="5"/>
</calcChain>
</file>

<file path=xl/sharedStrings.xml><?xml version="1.0" encoding="utf-8"?>
<sst xmlns="http://schemas.openxmlformats.org/spreadsheetml/2006/main" count="189" uniqueCount="145">
  <si>
    <t>Statistical Testing in Excel — Practice Workbook</t>
  </si>
  <si>
    <t>SHEET</t>
  </si>
  <si>
    <t>WHAT IT COVERS / BUSINESS SCENARIO</t>
  </si>
  <si>
    <t>1. T-Test (2-sample)</t>
  </si>
  <si>
    <t>Did Store A and Store B have significantly different average daily sales? (independent groups)</t>
  </si>
  <si>
    <t>2. T-Test (paired)</t>
  </si>
  <si>
    <t>Did a sales training program significantly improve rep performance? (same people, before vs after)</t>
  </si>
  <si>
    <t>3. ANOVA</t>
  </si>
  <si>
    <t>Do 4 marketing channels (Email, Social, Search, Referral) have significantly different conversion rates?</t>
  </si>
  <si>
    <t>4. Chi-Square</t>
  </si>
  <si>
    <t>Is product preference (A/B/C) independent of customer region (North/South/East/West)?</t>
  </si>
  <si>
    <t>5. Correlation</t>
  </si>
  <si>
    <t>Is there a significant relationship between advertising spend and sales revenue?</t>
  </si>
  <si>
    <t>6. Regression</t>
  </si>
  <si>
    <t>Predict sales revenue from ad spend, price discount %, and website traffic — which factors matter?</t>
  </si>
  <si>
    <t>7. F-Test</t>
  </si>
  <si>
    <t>Are two suppliers equally consistent (variance) in delivery time, or is one more erratic?</t>
  </si>
  <si>
    <t>HOW TO USE THIS FILE</t>
  </si>
  <si>
    <t>Blue numbers</t>
  </si>
  <si>
    <t>Raw/hardcoded input data — you can replace with your own numbers to re-run any test</t>
  </si>
  <si>
    <t>Black numbers</t>
  </si>
  <si>
    <t>Formulas — these recalculate automatically when you change the blue inputs</t>
  </si>
  <si>
    <t>Yellow cells</t>
  </si>
  <si>
    <t>Key results: test statistic, p-value, and the plain-English conclusion</t>
  </si>
  <si>
    <t>THE 5-STEP TESTING FRAMEWORK (used in every sheet)</t>
  </si>
  <si>
    <t>Step 1</t>
  </si>
  <si>
    <t>State H0 (null hypothesis — "no difference / no relationship") and H1 (alternative)</t>
  </si>
  <si>
    <t>Step 2</t>
  </si>
  <si>
    <t>Choose a significance level, alpha — almost always 0.05 (5%)</t>
  </si>
  <si>
    <t>Step 3</t>
  </si>
  <si>
    <t>Run the test in Excel to get the test statistic and the p-value</t>
  </si>
  <si>
    <t>Step 4</t>
  </si>
  <si>
    <t>Decision rule: if p-value &lt; alpha -&gt; reject H0 (result is statistically significant)</t>
  </si>
  <si>
    <t>Step 5</t>
  </si>
  <si>
    <t>Translate the statistical result back into a business decision</t>
  </si>
  <si>
    <t>Two-Sample T-Test: Store A vs Store B Daily Sales</t>
  </si>
  <si>
    <t>BUSINESS SCENARIO</t>
  </si>
  <si>
    <t>A retail chain wants to know if Store A's new layout produced significantly higher daily sales than Store B (old layout) over the last 20 business days, or if the difference is just random noise.</t>
  </si>
  <si>
    <t>H0 (null):</t>
  </si>
  <si>
    <t>True mean daily sales of Store A = Store B (layout has no effect)</t>
  </si>
  <si>
    <t>H1 (alternative):</t>
  </si>
  <si>
    <t>True mean daily sales of Store A =/= Store B (layout has an effect)</t>
  </si>
  <si>
    <t>Significance level (alpha):</t>
  </si>
  <si>
    <t>Day</t>
  </si>
  <si>
    <t>Store A Sales ($)</t>
  </si>
  <si>
    <t>Store B Sales ($)</t>
  </si>
  <si>
    <t>RESULTS</t>
  </si>
  <si>
    <t>Mean - Store A</t>
  </si>
  <si>
    <t>Mean - Store B</t>
  </si>
  <si>
    <t>Std Dev - Store A</t>
  </si>
  <si>
    <t>Std Dev - Store B</t>
  </si>
  <si>
    <t>t-Test p-value (two-tail, unequal var)</t>
  </si>
  <si>
    <t>Conclusion (auto)</t>
  </si>
  <si>
    <t>HOW TO DO THIS MANUALLY: Data tab -&gt; Data Analysis -&gt; t-Test: Two-Sample Assuming Unequal Variances. Set Variable 1 Range = Store A column, Variable 2 Range = Store B column, Alpha = 0.05. Excel outputs t Stat, P(T&lt;=t) two-tail, and t Critical two-tail. Compare the p-value to 0.05 as above.
BUSINESS TAKEAWAY: If significant, the retailer has statistical evidence the new layout increases sales and can justify rolling it out to other stores. If not significant, the observed gap could just be random day-to-day variation, and the retailer should NOT invest in a chain-wide rollout based on this data alone.</t>
  </si>
  <si>
    <t>Paired T-Test: Sales Training Before vs After</t>
  </si>
  <si>
    <t>A company sends 15 sales reps through a 2-day negotiation training. Management wants to know if the training significantly improved each rep's monthly deals closed (same reps measured before and after).</t>
  </si>
  <si>
    <t>Mean(After - Before) = 0 (training has no effect on deals closed)</t>
  </si>
  <si>
    <t>Mean(After - Before) =/= 0 (training changes performance)</t>
  </si>
  <si>
    <t>Rep</t>
  </si>
  <si>
    <t>Deals Closed - Before</t>
  </si>
  <si>
    <t>Deals Closed - After</t>
  </si>
  <si>
    <t>Difference</t>
  </si>
  <si>
    <t>Rep 1</t>
  </si>
  <si>
    <t>Rep 2</t>
  </si>
  <si>
    <t>Rep 3</t>
  </si>
  <si>
    <t>Rep 4</t>
  </si>
  <si>
    <t>Rep 5</t>
  </si>
  <si>
    <t>Rep 6</t>
  </si>
  <si>
    <t>Rep 7</t>
  </si>
  <si>
    <t>Rep 8</t>
  </si>
  <si>
    <t>Rep 9</t>
  </si>
  <si>
    <t>Rep 10</t>
  </si>
  <si>
    <t>Rep 11</t>
  </si>
  <si>
    <t>Rep 12</t>
  </si>
  <si>
    <t>Rep 13</t>
  </si>
  <si>
    <t>Rep 14</t>
  </si>
  <si>
    <t>Rep 15</t>
  </si>
  <si>
    <t>Mean - Before</t>
  </si>
  <si>
    <t>Mean - After</t>
  </si>
  <si>
    <t>Mean Difference</t>
  </si>
  <si>
    <t>Paired t-Test p-value (two-tail)</t>
  </si>
  <si>
    <t>HOW TO DO THIS MANUALLY: Data tab -&gt; Data Analysis -&gt; t-Test: Paired Two Sample for Means. Variable 1 Range = Before column, Variable 2 Range = After column.
BUSINESS TAKEAWAY: A significant result justifies rolling the training out company-wide. Paired tests are more powerful than independent-sample tests when you can measure the SAME subjects twice, because they remove person-to-person variability from the comparison.</t>
  </si>
  <si>
    <t>One-Way ANOVA: Conversion Rate by Marketing Channel</t>
  </si>
  <si>
    <t>A marketing team ran 4 channels (Email, Social, Search, Referral) over 10 campaigns each and recorded conversion rate (%). They want to know if AT LEAST ONE channel performs significantly differently from the others, before deciding where to shift budget.</t>
  </si>
  <si>
    <t>Mean conversion rate is equal across all 4 channels</t>
  </si>
  <si>
    <t>At least one channel has a different mean conversion rate</t>
  </si>
  <si>
    <t>Campaign #</t>
  </si>
  <si>
    <t>Email</t>
  </si>
  <si>
    <t>Social</t>
  </si>
  <si>
    <t>Search</t>
  </si>
  <si>
    <t>Referral</t>
  </si>
  <si>
    <t>GROUP SUMMARY</t>
  </si>
  <si>
    <t>Mean</t>
  </si>
  <si>
    <t>Variance</t>
  </si>
  <si>
    <t>RUN THE FULL ANOVA TABLE: Data tab -&gt; Data Analysis -&gt; ANOVA: Single Factor.
Input Range = B7:E17 (include headers, check "Labels in first row"), Alpha = 0.05, output to a new area or new sheet.
Excel will output a table with: Groups (count, sum, average, variance) and an ANOVA section with SS, df, MS, F, P-value, and F crit.
DECISION RULE: If the P-value in that output &lt; 0.05 (or equivalently F &gt; F crit), reject H0 -&gt; at least one channel's conversion rate is significantly different.
BUSINESS TAKEAWAY: ANOVA only tells you THAT a difference exists somewhere, not WHICH channel(s) differ. If significant, follow up with pairwise t-tests (e.g., Search vs Email) or a post-hoc test (Tukey HSD) to identify exactly which channel(s) to shift budget toward.</t>
  </si>
  <si>
    <t>Chi-Square Test: Product Preference by Region</t>
  </si>
  <si>
    <t>A retailer surveyed 400 customers across 4 regions on which of 3 products (A, B, C) they prefer. Management wants to know if product preference is INDEPENDENT of region, or if regional preferences differ (which would justify region-specific stocking/marketing).</t>
  </si>
  <si>
    <t>Product preference is independent of region (no relationship)</t>
  </si>
  <si>
    <t>Product preference depends on region (there is a relationship)</t>
  </si>
  <si>
    <t>OBSERVED COUNTS</t>
  </si>
  <si>
    <t>Region</t>
  </si>
  <si>
    <t>Product A</t>
  </si>
  <si>
    <t>Product B</t>
  </si>
  <si>
    <t>Product C</t>
  </si>
  <si>
    <t>Row Total</t>
  </si>
  <si>
    <t>North</t>
  </si>
  <si>
    <t>South</t>
  </si>
  <si>
    <t>East</t>
  </si>
  <si>
    <t>West</t>
  </si>
  <si>
    <t>Column Total</t>
  </si>
  <si>
    <t>EXPECTED COUNTS (if H0 true)</t>
  </si>
  <si>
    <t>Chi-Square p-value</t>
  </si>
  <si>
    <t>HOW THIS WORKS: Expected count for each cell = (Row Total x Column Total) / Grand Total — this is what you'd see if region and preference were totally unrelated. CHISQ.TEST compares observed vs expected counts and returns a p-value directly (no need to manually compute the chi-square statistic).
BUSINESS TAKEAWAY: A significant result means regional preferences genuinely differ (e.g., West clearly favors Product A) — justifying region-specific inventory, assortment, or marketing. A non-significant result means a single national strategy is statistically justified.</t>
  </si>
  <si>
    <t>Correlation &amp; Significance: Ad Spend vs Sales Revenue</t>
  </si>
  <si>
    <t>A company tracked monthly ad spend and sales revenue for 18 months. They want to know if there is a real relationship between the two (not just coincidence) before increasing the ad budget.</t>
  </si>
  <si>
    <t>True correlation between ad spend and sales revenue = 0 (no relationship)</t>
  </si>
  <si>
    <t>True correlation =/= 0 (a real relationship exists)</t>
  </si>
  <si>
    <t>Month</t>
  </si>
  <si>
    <t>Ad Spend ($000)</t>
  </si>
  <si>
    <t>Sales Revenue ($000)</t>
  </si>
  <si>
    <t>n (sample size)</t>
  </si>
  <si>
    <t>Correlation (r)</t>
  </si>
  <si>
    <t>t-statistic</t>
  </si>
  <si>
    <t>p-value (two-tail)</t>
  </si>
  <si>
    <t>REMEMBER: CORREL() alone only gives you the STRENGTH of a relationship (-1 to +1), not whether it's statistically real. The t-stat/p-value steps above test significance. With small samples, even a moderate-looking r can be pure noise; with large samples, even a tiny r can be significant.
CORRELATION IS NOT CAUSATION: a significant positive r here suggests ad spend and sales move together, but doesn't prove ads CAUSE sales (e.g., a booming season could drive both spend and sales up together).
BUSINESS TAKEAWAY: If significant and strong (r &gt; 0.5 or so), it supports a case for increasing ad budget, ideally followed up with an A/B test or regression controlling for other factors before committing spend.</t>
  </si>
  <si>
    <t>Multiple Regression: What Drives Monthly Sales?</t>
  </si>
  <si>
    <t>A company wants to know which factors actually predict monthly sales revenue: ad spend, discount percentage offered, or website traffic — and how much each one matters, so they can prioritize budget and decisions.</t>
  </si>
  <si>
    <t>For each predictor: that predictor's true regression coefficient = 0 (it has no effect on sales)</t>
  </si>
  <si>
    <t>That predictor's true coefficient =/= 0 (it does affect sales)</t>
  </si>
  <si>
    <t>Discount (%)</t>
  </si>
  <si>
    <t>Web Traffic (000 visits)</t>
  </si>
  <si>
    <t>RUN THIS: Data tab -&gt; Data Analysis -&gt; Regression.
Input Y Range = E7:E31 (Sales, including header)
Input X Range = B7:D31 (Ad Spend, Discount, Traffic, including headers)
Check "Labels", set confidence level 95%, output to a new sheet or below.
HOW TO READ THE OUTPUT:
- "R Square" = % of variation in sales explained by these 3 factors combined (closer to 1 = better fit)
- "Significance F" = overall model p-value: is the model as a whole useful? (&lt; 0.05 = yes)
- In the coefficients table, each variable has its own p-value: if &lt; 0.05, that variable is a statistically significant predictor of sales, independent of the other two.
- The "Coefficient" for each variable tells you the expected change in sales for a 1-unit change in that variable, holding the others constant (e.g., "each extra $1,000 of ad spend is associated with +$X,000 in sales").
BUSINESS TAKEAWAY: Use the significant variables with the largest, most reliable coefficients to prioritize where to invest (e.g., if Ad Spend is significant and Discount is not, stop discounting and reallocate to ads).</t>
  </si>
  <si>
    <t>F-Test: Delivery Time Consistency of Two Suppliers</t>
  </si>
  <si>
    <t>A company compares delivery times (in days) from two suppliers over their last 15 orders each. Average delivery time is similar for both, but management wants to know which supplier is more CONSISTENT/reliable (lower variance = more predictable).</t>
  </si>
  <si>
    <t>The variance in delivery time is equal for Supplier 1 and Supplier 2</t>
  </si>
  <si>
    <t>The variance in delivery time differs between the two suppliers</t>
  </si>
  <si>
    <t>Order #</t>
  </si>
  <si>
    <t>Supplier 1 (days)</t>
  </si>
  <si>
    <t>Supplier 2 (days)</t>
  </si>
  <si>
    <t>Mean - Supplier 1</t>
  </si>
  <si>
    <t>Mean - Supplier 2</t>
  </si>
  <si>
    <t>Variance - Supplier 1</t>
  </si>
  <si>
    <t>Variance - Supplier 2</t>
  </si>
  <si>
    <t>F-Test p-value (two-tail)</t>
  </si>
  <si>
    <t>HOW TO DO THIS MANUALLY: Data tab -&gt; Data Analysis -&gt; F-Test Two-Sample for Variances. Variable 1 Range = Supplier 1, Variable 2 Range = Supplier 2. Excel gives F, P(F&lt;=f) one-tail, and F Critical one-tail (note: the Analysis ToolPak version is one-tailed, while F.TEST() above gives the two-tailed p-value directly).
BUSINESS TAKEAWAY: Even with similar average delivery times, the supplier with significantly lower variance is more predictable — valuable for inventory planning and avoiding stockouts, even if their average is not the fastest.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</si>
</sst>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12" x14ac:knownFonts="1">
    <font>
      <sz val="11"/>
      <color theme="1"/>
      <name val="Calibri"/>
      <family val="2"/>
      <charset val="1"/>
    </font>
    <font>
      <b/>
      <sz val="16"/>
      <color rgb="FF1F3864"/>
      <name val="Arial"/>
      <charset val="1"/>
    </font>
    <font>
      <b/>
      <sz val="10"/>
      <name val="Arial"/>
      <charset val="1"/>
    </font>
    <font>
      <sz val="10"/>
      <name val="Arial"/>
      <charset val="1"/>
    </font>
    <font>
      <b/>
      <sz val="11"/>
      <color rgb="FFFFFFFF"/>
      <name val="Arial"/>
      <charset val="1"/>
    </font>
    <font>
      <b/>
      <sz val="10"/>
      <color rgb="FF1F3864"/>
      <name val="Arial"/>
      <charset val="1"/>
    </font>
    <font>
      <b/>
      <sz val="15"/>
      <color rgb="FF1F3864"/>
      <name val="Arial"/>
      <charset val="1"/>
    </font>
    <font>
      <b/>
      <sz val="10"/>
      <color rgb="FFFFFFFF"/>
      <name val="Arial"/>
      <charset val="1"/>
    </font>
    <font>
      <i/>
      <sz val="10"/>
      <name val="Arial"/>
      <charset val="1"/>
    </font>
    <font>
      <sz val="11"/>
      <color rgb="FF0000FF"/>
      <name val="Arial"/>
      <charset val="1"/>
    </font>
    <font>
      <sz val="11"/>
      <color rgb="FF000000"/>
      <name val="Arial"/>
      <charset val="1"/>
    </font>
    <font>
      <i/>
      <sz val="10"/>
      <color rgb="FF595959"/>
      <name val="Arial"/>
      <charset val="1"/>
    </font>
  </fonts>
  <fills count="7">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548235"/>
        <bgColor rgb="FF339966"/>
      </patternFill>
    </fill>
    <fill>
      <patternFill patternType="solid">
        <fgColor rgb="FFE2EFDA"/>
        <bgColor rgb="FFDDEBF7"/>
      </patternFill>
    </fill>
    <fill>
      <patternFill patternType="solid">
        <fgColor rgb="FFFFF2CC"/>
        <bgColor rgb="FFE2EFDA"/>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42">
    <xf numFmtId="0" fontId="0" fillId="0" borderId="0" xfId="0"/>
    <xf numFmtId="0" fontId="11" fillId="0" borderId="0" xfId="0" applyFont="1" applyBorder="1" applyAlignment="1">
      <alignment vertical="top" wrapText="1"/>
    </xf>
    <xf numFmtId="0" fontId="2" fillId="0" borderId="0" xfId="0" applyFont="1"/>
    <xf numFmtId="0" fontId="3" fillId="0" borderId="0" xfId="0" applyFont="1" applyAlignment="1">
      <alignment wrapText="1"/>
    </xf>
    <xf numFmtId="0" fontId="4" fillId="2" borderId="0" xfId="0" applyFont="1" applyFill="1"/>
    <xf numFmtId="0" fontId="2" fillId="3" borderId="0" xfId="0" applyFont="1" applyFill="1"/>
    <xf numFmtId="0" fontId="3" fillId="3" borderId="0" xfId="0" applyFont="1" applyFill="1" applyAlignment="1">
      <alignment wrapText="1"/>
    </xf>
    <xf numFmtId="0" fontId="5" fillId="0" borderId="0" xfId="0" applyFont="1"/>
    <xf numFmtId="0" fontId="6" fillId="0" borderId="0" xfId="0" applyFont="1"/>
    <xf numFmtId="0" fontId="7" fillId="4" borderId="0" xfId="0" applyFont="1" applyFill="1"/>
    <xf numFmtId="0" fontId="4" fillId="2" borderId="1" xfId="0" applyFont="1" applyFill="1" applyBorder="1" applyAlignment="1">
      <alignment horizontal="center" vertical="center"/>
    </xf>
    <xf numFmtId="0" fontId="0" fillId="0" borderId="1" xfId="0" applyBorder="1"/>
    <xf numFmtId="0" fontId="9" fillId="0" borderId="1" xfId="0" applyFont="1" applyBorder="1"/>
    <xf numFmtId="0" fontId="10" fillId="0" borderId="0" xfId="0" applyFont="1"/>
    <xf numFmtId="0" fontId="2" fillId="6" borderId="0" xfId="0" applyFont="1" applyFill="1"/>
    <xf numFmtId="164" fontId="10" fillId="6" borderId="0" xfId="0" applyNumberFormat="1" applyFont="1" applyFill="1"/>
    <xf numFmtId="0" fontId="10" fillId="0" borderId="1" xfId="0" applyFont="1" applyBorder="1"/>
    <xf numFmtId="2" fontId="9" fillId="0" borderId="1" xfId="0" applyNumberFormat="1" applyFont="1" applyBorder="1"/>
    <xf numFmtId="2" fontId="0" fillId="0" borderId="0" xfId="0" applyNumberFormat="1"/>
    <xf numFmtId="0" fontId="2" fillId="0" borderId="1" xfId="0" applyFont="1" applyBorder="1"/>
    <xf numFmtId="165" fontId="0" fillId="0" borderId="1" xfId="0" applyNumberFormat="1" applyBorder="1"/>
    <xf numFmtId="0" fontId="0" fillId="0" borderId="0" xfId="0"/>
    <xf numFmtId="166" fontId="0" fillId="0" borderId="0" xfId="0" applyNumberFormat="1"/>
    <xf numFmtId="164" fontId="0" fillId="6" borderId="0" xfId="0" applyNumberFormat="1" applyFill="1"/>
    <xf numFmtId="0" fontId="1" fillId="0" borderId="0" xfId="0" applyFont="1" applyAlignment="1">
      <alignment horizontal="center"/>
    </xf>
    <xf numFmtId="0" fontId="8" fillId="6" borderId="0" xfId="0" applyFont="1" applyFill="1" applyBorder="1"/>
    <xf numFmtId="0" fontId="11" fillId="0" borderId="0" xfId="0" applyFont="1" applyBorder="1" applyAlignment="1">
      <alignment vertical="top" wrapText="1"/>
    </xf>
    <xf numFmtId="0" fontId="6" fillId="0" borderId="0" xfId="0" applyFont="1" applyAlignment="1">
      <alignment horizontal="center"/>
    </xf>
    <xf numFmtId="0" fontId="3" fillId="5" borderId="0" xfId="0" applyFont="1" applyFill="1" applyBorder="1" applyAlignment="1">
      <alignment vertical="center" wrapText="1"/>
    </xf>
    <xf numFmtId="0" fontId="8" fillId="0" borderId="0" xfId="0" applyFont="1" applyBorder="1"/>
    <xf numFmtId="0" fontId="3" fillId="0" borderId="0" xfId="0" applyFont="1" applyBorder="1" applyAlignment="1">
      <alignment horizontal="left"/>
    </xf>
    <xf numFmtId="0" fontId="4" fillId="2" borderId="0" xfId="0" applyFont="1" applyFill="1" applyBorder="1"/>
    <xf numFmtId="0" fontId="3" fillId="0" borderId="0" xfId="0" applyFont="1" applyBorder="1"/>
    <xf numFmtId="0" fontId="0" fillId="0" borderId="2" xfId="0" applyBorder="1"/>
    <xf numFmtId="0" fontId="9" fillId="0" borderId="3" xfId="0" applyFont="1" applyBorder="1"/>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0" fillId="0" borderId="7" xfId="0" applyBorder="1"/>
    <xf numFmtId="0" fontId="9" fillId="0" borderId="8" xfId="0" applyFont="1" applyBorder="1"/>
    <xf numFmtId="0" fontId="9" fillId="0" borderId="9" xfId="0" applyFont="1" applyBorder="1"/>
    <xf numFmtId="0" fontId="11" fillId="0" borderId="0" xfId="0" applyFont="1" applyBorder="1" applyAlignment="1">
      <alignment horizontal="center" vertical="top" wrapText="1"/>
    </xf>
  </cellXfs>
  <cellStyles count="1">
    <cellStyle name="Normal" xfId="0" builtinId="0"/>
  </cellStyles>
  <dxfs count="7">
    <dxf>
      <font>
        <b/>
        <i val="0"/>
        <strike val="0"/>
        <condense val="0"/>
        <extend val="0"/>
        <outline val="0"/>
        <shadow val="0"/>
        <u val="none"/>
        <vertAlign val="baseline"/>
        <sz val="11"/>
        <color rgb="FFFFFFFF"/>
        <name val="Arial"/>
        <charset val="1"/>
        <scheme val="none"/>
      </font>
      <fill>
        <patternFill patternType="solid">
          <fgColor rgb="FF333333"/>
          <bgColor rgb="FF1F3864"/>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1"/>
        <color rgb="FF0000FF"/>
        <name val="Arial"/>
        <charset val="1"/>
        <scheme val="none"/>
      </font>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1"/>
        <color rgb="FF0000FF"/>
        <name val="Arial"/>
        <charset val="1"/>
        <scheme val="none"/>
      </font>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6490FB-720D-4A22-A12A-361EF6FA1414}" name="Table2" displayName="Table2" ref="A7:C27" totalsRowShown="0" headerRowDxfId="0" headerRowBorderDxfId="5" tableBorderDxfId="6" totalsRowBorderDxfId="4">
  <autoFilter ref="A7:C27" xr:uid="{C86490FB-720D-4A22-A12A-361EF6FA1414}"/>
  <tableColumns count="3">
    <tableColumn id="1" xr3:uid="{A5B9FB28-9DAF-4591-A303-F1CD5A5A6704}" name="Day" dataDxfId="3"/>
    <tableColumn id="2" xr3:uid="{5E36922D-9F71-43F0-817B-3F68319F9E36}" name="Store A Sales ($)" dataDxfId="2"/>
    <tableColumn id="3" xr3:uid="{B3499372-BD29-4363-9520-8B6ECE9C9D39}" name="Store B Sales ($)"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opLeftCell="A16" zoomScaleNormal="100" workbookViewId="0">
      <selection activeCell="D15" sqref="D15"/>
    </sheetView>
  </sheetViews>
  <sheetFormatPr defaultColWidth="8.7109375" defaultRowHeight="15" x14ac:dyDescent="0.25"/>
  <cols>
    <col min="1" max="1" width="28" customWidth="1"/>
    <col min="2" max="2" width="90" customWidth="1"/>
  </cols>
  <sheetData>
    <row r="1" spans="1:2" ht="20.25" customHeight="1" x14ac:dyDescent="0.25">
      <c r="A1" s="24" t="s">
        <v>0</v>
      </c>
      <c r="B1" s="24"/>
    </row>
    <row r="2" spans="1:2" x14ac:dyDescent="0.25">
      <c r="A2" s="24"/>
      <c r="B2" s="24"/>
    </row>
    <row r="4" spans="1:2" ht="6" customHeight="1" x14ac:dyDescent="0.25">
      <c r="A4" s="2"/>
      <c r="B4" s="3"/>
    </row>
    <row r="5" spans="1:2" ht="30" customHeight="1" x14ac:dyDescent="0.25">
      <c r="A5" s="4" t="s">
        <v>1</v>
      </c>
      <c r="B5" s="4" t="s">
        <v>2</v>
      </c>
    </row>
    <row r="6" spans="1:2" ht="30" customHeight="1" x14ac:dyDescent="0.25">
      <c r="A6" s="5" t="s">
        <v>3</v>
      </c>
      <c r="B6" s="6" t="s">
        <v>4</v>
      </c>
    </row>
    <row r="7" spans="1:2" ht="30" customHeight="1" x14ac:dyDescent="0.25">
      <c r="A7" s="5" t="s">
        <v>5</v>
      </c>
      <c r="B7" s="6" t="s">
        <v>6</v>
      </c>
    </row>
    <row r="8" spans="1:2" ht="30" customHeight="1" x14ac:dyDescent="0.25">
      <c r="A8" s="5" t="s">
        <v>7</v>
      </c>
      <c r="B8" s="6" t="s">
        <v>8</v>
      </c>
    </row>
    <row r="9" spans="1:2" ht="30" customHeight="1" x14ac:dyDescent="0.25">
      <c r="A9" s="5" t="s">
        <v>9</v>
      </c>
      <c r="B9" s="6" t="s">
        <v>10</v>
      </c>
    </row>
    <row r="10" spans="1:2" ht="30" customHeight="1" x14ac:dyDescent="0.25">
      <c r="A10" s="5" t="s">
        <v>11</v>
      </c>
      <c r="B10" s="6" t="s">
        <v>12</v>
      </c>
    </row>
    <row r="11" spans="1:2" ht="30" customHeight="1" x14ac:dyDescent="0.25">
      <c r="A11" s="5" t="s">
        <v>13</v>
      </c>
      <c r="B11" s="6" t="s">
        <v>14</v>
      </c>
    </row>
    <row r="12" spans="1:2" ht="30" customHeight="1" x14ac:dyDescent="0.25">
      <c r="A12" s="5" t="s">
        <v>15</v>
      </c>
      <c r="B12" s="6" t="s">
        <v>16</v>
      </c>
    </row>
    <row r="13" spans="1:2" x14ac:dyDescent="0.25">
      <c r="A13" s="2"/>
      <c r="B13" s="3"/>
    </row>
    <row r="14" spans="1:2" x14ac:dyDescent="0.25">
      <c r="A14" s="4" t="s">
        <v>17</v>
      </c>
      <c r="B14" s="4"/>
    </row>
    <row r="15" spans="1:2" ht="30" customHeight="1" x14ac:dyDescent="0.25">
      <c r="A15" s="2" t="s">
        <v>18</v>
      </c>
      <c r="B15" s="3" t="s">
        <v>19</v>
      </c>
    </row>
    <row r="16" spans="1:2" ht="30" customHeight="1" x14ac:dyDescent="0.25">
      <c r="A16" s="2" t="s">
        <v>20</v>
      </c>
      <c r="B16" s="3" t="s">
        <v>21</v>
      </c>
    </row>
    <row r="17" spans="1:2" ht="30" customHeight="1" x14ac:dyDescent="0.25">
      <c r="A17" s="2" t="s">
        <v>22</v>
      </c>
      <c r="B17" s="3" t="s">
        <v>23</v>
      </c>
    </row>
    <row r="18" spans="1:2" x14ac:dyDescent="0.25">
      <c r="A18" s="2"/>
      <c r="B18" s="3"/>
    </row>
    <row r="19" spans="1:2" x14ac:dyDescent="0.25">
      <c r="A19" s="4" t="s">
        <v>24</v>
      </c>
      <c r="B19" s="4"/>
    </row>
    <row r="20" spans="1:2" ht="30" customHeight="1" x14ac:dyDescent="0.25">
      <c r="A20" s="7" t="s">
        <v>25</v>
      </c>
      <c r="B20" s="3" t="s">
        <v>26</v>
      </c>
    </row>
    <row r="21" spans="1:2" ht="30" customHeight="1" x14ac:dyDescent="0.25">
      <c r="A21" s="7" t="s">
        <v>27</v>
      </c>
      <c r="B21" s="3" t="s">
        <v>28</v>
      </c>
    </row>
    <row r="22" spans="1:2" ht="30" customHeight="1" x14ac:dyDescent="0.25">
      <c r="A22" s="7" t="s">
        <v>29</v>
      </c>
      <c r="B22" s="3" t="s">
        <v>30</v>
      </c>
    </row>
    <row r="23" spans="1:2" ht="30" customHeight="1" x14ac:dyDescent="0.25">
      <c r="A23" s="7" t="s">
        <v>31</v>
      </c>
      <c r="B23" s="3" t="s">
        <v>32</v>
      </c>
    </row>
    <row r="24" spans="1:2" ht="30" customHeight="1" x14ac:dyDescent="0.25">
      <c r="A24" s="7" t="s">
        <v>33</v>
      </c>
      <c r="B24" s="3" t="s">
        <v>34</v>
      </c>
    </row>
  </sheetData>
  <mergeCells count="1">
    <mergeCell ref="A1: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
  <sheetViews>
    <sheetView topLeftCell="A25" zoomScaleNormal="100" workbookViewId="0">
      <selection activeCell="B5" sqref="B5:F5"/>
    </sheetView>
  </sheetViews>
  <sheetFormatPr defaultColWidth="8.7109375" defaultRowHeight="15" x14ac:dyDescent="0.25"/>
  <cols>
    <col min="1" max="1" width="34.42578125" bestFit="1" customWidth="1"/>
    <col min="2" max="2" width="22.5703125" bestFit="1" customWidth="1"/>
    <col min="3" max="3" width="22.85546875" bestFit="1" customWidth="1"/>
    <col min="4" max="4" width="4" customWidth="1"/>
    <col min="5" max="5" width="26" customWidth="1"/>
    <col min="6" max="6" width="16" customWidth="1"/>
  </cols>
  <sheetData>
    <row r="1" spans="1:6" ht="19.5" x14ac:dyDescent="0.3">
      <c r="A1" s="27" t="s">
        <v>35</v>
      </c>
      <c r="B1" s="27"/>
      <c r="C1" s="27"/>
      <c r="D1" s="27"/>
      <c r="E1" s="27"/>
    </row>
    <row r="2" spans="1:6" ht="45" customHeight="1" x14ac:dyDescent="0.25">
      <c r="A2" s="9" t="s">
        <v>36</v>
      </c>
      <c r="B2" s="28" t="s">
        <v>37</v>
      </c>
      <c r="C2" s="28"/>
      <c r="D2" s="28"/>
      <c r="E2" s="28"/>
      <c r="F2" s="28"/>
    </row>
    <row r="3" spans="1:6" x14ac:dyDescent="0.25">
      <c r="A3" s="2" t="s">
        <v>38</v>
      </c>
      <c r="B3" s="29" t="s">
        <v>39</v>
      </c>
      <c r="C3" s="29"/>
      <c r="D3" s="29"/>
      <c r="E3" s="29"/>
      <c r="F3" s="29"/>
    </row>
    <row r="4" spans="1:6" x14ac:dyDescent="0.25">
      <c r="A4" s="2" t="s">
        <v>40</v>
      </c>
      <c r="B4" s="29" t="s">
        <v>41</v>
      </c>
      <c r="C4" s="29"/>
      <c r="D4" s="29"/>
      <c r="E4" s="29"/>
      <c r="F4" s="29"/>
    </row>
    <row r="5" spans="1:6" x14ac:dyDescent="0.25">
      <c r="A5" s="2" t="s">
        <v>42</v>
      </c>
      <c r="B5" s="30">
        <v>0.05</v>
      </c>
      <c r="C5" s="30"/>
      <c r="D5" s="30"/>
      <c r="E5" s="30"/>
      <c r="F5" s="30"/>
    </row>
    <row r="7" spans="1:6" x14ac:dyDescent="0.25">
      <c r="A7" s="35" t="s">
        <v>43</v>
      </c>
      <c r="B7" s="36" t="s">
        <v>44</v>
      </c>
      <c r="C7" s="37" t="s">
        <v>45</v>
      </c>
    </row>
    <row r="8" spans="1:6" x14ac:dyDescent="0.25">
      <c r="A8" s="33">
        <v>1</v>
      </c>
      <c r="B8" s="12">
        <v>5770</v>
      </c>
      <c r="C8" s="34">
        <v>4510</v>
      </c>
    </row>
    <row r="9" spans="1:6" x14ac:dyDescent="0.25">
      <c r="A9" s="33">
        <v>2</v>
      </c>
      <c r="B9" s="12">
        <v>4990</v>
      </c>
      <c r="C9" s="34">
        <v>5410</v>
      </c>
    </row>
    <row r="10" spans="1:6" x14ac:dyDescent="0.25">
      <c r="A10" s="33">
        <v>3</v>
      </c>
      <c r="B10" s="12">
        <v>5020</v>
      </c>
      <c r="C10" s="34">
        <v>5310</v>
      </c>
    </row>
    <row r="11" spans="1:6" x14ac:dyDescent="0.25">
      <c r="A11" s="33">
        <v>4</v>
      </c>
      <c r="B11" s="12">
        <v>4820</v>
      </c>
      <c r="C11" s="34">
        <v>5150</v>
      </c>
    </row>
    <row r="12" spans="1:6" x14ac:dyDescent="0.25">
      <c r="A12" s="33">
        <v>5</v>
      </c>
      <c r="B12" s="12">
        <v>5500</v>
      </c>
      <c r="C12" s="34">
        <v>5310</v>
      </c>
    </row>
    <row r="13" spans="1:6" x14ac:dyDescent="0.25">
      <c r="A13" s="33">
        <v>6</v>
      </c>
      <c r="B13" s="12">
        <v>4390</v>
      </c>
      <c r="C13" s="34">
        <v>4680</v>
      </c>
    </row>
    <row r="14" spans="1:6" x14ac:dyDescent="0.25">
      <c r="A14" s="33">
        <v>7</v>
      </c>
      <c r="B14" s="12">
        <v>5810</v>
      </c>
      <c r="C14" s="34">
        <v>4900</v>
      </c>
    </row>
    <row r="15" spans="1:6" x14ac:dyDescent="0.25">
      <c r="A15" s="33">
        <v>8</v>
      </c>
      <c r="B15" s="12">
        <v>4930</v>
      </c>
      <c r="C15" s="34">
        <v>4580</v>
      </c>
    </row>
    <row r="16" spans="1:6" x14ac:dyDescent="0.25">
      <c r="A16" s="33">
        <v>9</v>
      </c>
      <c r="B16" s="12">
        <v>5310</v>
      </c>
      <c r="C16" s="34">
        <v>4840</v>
      </c>
    </row>
    <row r="17" spans="1:3" x14ac:dyDescent="0.25">
      <c r="A17" s="33">
        <v>10</v>
      </c>
      <c r="B17" s="12">
        <v>5110</v>
      </c>
      <c r="C17" s="34">
        <v>5160</v>
      </c>
    </row>
    <row r="18" spans="1:3" x14ac:dyDescent="0.25">
      <c r="A18" s="33">
        <v>11</v>
      </c>
      <c r="B18" s="12">
        <v>5710</v>
      </c>
      <c r="C18" s="34">
        <v>4670</v>
      </c>
    </row>
    <row r="19" spans="1:3" x14ac:dyDescent="0.25">
      <c r="A19" s="33">
        <v>12</v>
      </c>
      <c r="B19" s="12">
        <v>4480</v>
      </c>
      <c r="C19" s="34">
        <v>4790</v>
      </c>
    </row>
    <row r="20" spans="1:3" x14ac:dyDescent="0.25">
      <c r="A20" s="33">
        <v>13</v>
      </c>
      <c r="B20" s="12">
        <v>5090</v>
      </c>
      <c r="C20" s="34">
        <v>4680</v>
      </c>
    </row>
    <row r="21" spans="1:3" x14ac:dyDescent="0.25">
      <c r="A21" s="33">
        <v>14</v>
      </c>
      <c r="B21" s="12">
        <v>5070</v>
      </c>
      <c r="C21" s="34">
        <v>4610</v>
      </c>
    </row>
    <row r="22" spans="1:3" x14ac:dyDescent="0.25">
      <c r="A22" s="33">
        <v>15</v>
      </c>
      <c r="B22" s="12">
        <v>5600</v>
      </c>
      <c r="C22" s="34">
        <v>4680</v>
      </c>
    </row>
    <row r="23" spans="1:3" x14ac:dyDescent="0.25">
      <c r="A23" s="33">
        <v>16</v>
      </c>
      <c r="B23" s="12">
        <v>4820</v>
      </c>
      <c r="C23" s="34">
        <v>4940</v>
      </c>
    </row>
    <row r="24" spans="1:3" x14ac:dyDescent="0.25">
      <c r="A24" s="33">
        <v>17</v>
      </c>
      <c r="B24" s="12">
        <v>5140</v>
      </c>
      <c r="C24" s="34">
        <v>4500</v>
      </c>
    </row>
    <row r="25" spans="1:3" x14ac:dyDescent="0.25">
      <c r="A25" s="33">
        <v>18</v>
      </c>
      <c r="B25" s="12">
        <v>4890</v>
      </c>
      <c r="C25" s="34">
        <v>5040</v>
      </c>
    </row>
    <row r="26" spans="1:3" x14ac:dyDescent="0.25">
      <c r="A26" s="33">
        <v>19</v>
      </c>
      <c r="B26" s="12">
        <v>5210</v>
      </c>
      <c r="C26" s="34">
        <v>5610</v>
      </c>
    </row>
    <row r="27" spans="1:3" x14ac:dyDescent="0.25">
      <c r="A27" s="38">
        <v>20</v>
      </c>
      <c r="B27" s="39">
        <v>5400</v>
      </c>
      <c r="C27" s="40">
        <v>5250</v>
      </c>
    </row>
    <row r="29" spans="1:3" x14ac:dyDescent="0.25">
      <c r="A29" s="31" t="s">
        <v>46</v>
      </c>
      <c r="B29" s="31"/>
      <c r="C29" s="31"/>
    </row>
    <row r="30" spans="1:3" x14ac:dyDescent="0.25">
      <c r="A30" s="2" t="s">
        <v>47</v>
      </c>
      <c r="B30" s="13">
        <f>AVERAGE(B8:B27)</f>
        <v>5153</v>
      </c>
    </row>
    <row r="31" spans="1:3" x14ac:dyDescent="0.25">
      <c r="A31" s="2" t="s">
        <v>48</v>
      </c>
      <c r="B31" s="13">
        <f>AVERAGE(C8:C27)</f>
        <v>4931</v>
      </c>
    </row>
    <row r="32" spans="1:3" x14ac:dyDescent="0.25">
      <c r="A32" s="2" t="s">
        <v>49</v>
      </c>
      <c r="B32" s="13">
        <f>_xlfn.STDEV.S(B8:B27)</f>
        <v>395.00966010839198</v>
      </c>
    </row>
    <row r="33" spans="1:6" x14ac:dyDescent="0.25">
      <c r="A33" s="2" t="s">
        <v>50</v>
      </c>
      <c r="B33" s="13">
        <f>_xlfn.STDEV.S(C8:C27)</f>
        <v>329.86281039882402</v>
      </c>
    </row>
    <row r="34" spans="1:6" x14ac:dyDescent="0.25">
      <c r="A34" s="14" t="s">
        <v>51</v>
      </c>
      <c r="B34" s="15">
        <f>_xlfn.T.TEST(B8:B27,C8:C27,2,3)</f>
        <v>6.1440162114659795E-2</v>
      </c>
    </row>
    <row r="36" spans="1:6" ht="30" customHeight="1" x14ac:dyDescent="0.25">
      <c r="A36" s="14" t="s">
        <v>52</v>
      </c>
      <c r="B36" s="25" t="str">
        <f>IF(B34&lt;0.05,"p &lt; 0.05 -&gt; REJECT H0: the difference in average daily sales IS statistically significant.","p &gt;= 0.05 -&gt; FAIL TO REJECT H0: no statistically significant difference found.")</f>
        <v>p &gt;= 0.05 -&gt; FAIL TO REJECT H0: no statistically significant difference found.</v>
      </c>
      <c r="C36" s="25"/>
      <c r="D36" s="25"/>
      <c r="E36" s="25"/>
      <c r="F36" s="25"/>
    </row>
    <row r="38" spans="1:6" ht="15" customHeight="1" x14ac:dyDescent="0.25">
      <c r="A38" s="26" t="s">
        <v>53</v>
      </c>
      <c r="B38" s="26"/>
      <c r="C38" s="26"/>
      <c r="D38" s="26"/>
      <c r="E38" s="26"/>
      <c r="F38" s="26"/>
    </row>
    <row r="39" spans="1:6" x14ac:dyDescent="0.25">
      <c r="A39" s="26"/>
      <c r="B39" s="26"/>
      <c r="C39" s="26"/>
      <c r="D39" s="26"/>
      <c r="E39" s="26"/>
      <c r="F39" s="26"/>
    </row>
    <row r="40" spans="1:6" x14ac:dyDescent="0.25">
      <c r="A40" s="26"/>
      <c r="B40" s="26"/>
      <c r="C40" s="26"/>
      <c r="D40" s="26"/>
      <c r="E40" s="26"/>
      <c r="F40" s="26"/>
    </row>
    <row r="41" spans="1:6" x14ac:dyDescent="0.25">
      <c r="A41" s="26"/>
      <c r="B41" s="26"/>
      <c r="C41" s="26"/>
      <c r="D41" s="26"/>
      <c r="E41" s="26"/>
      <c r="F41" s="26"/>
    </row>
    <row r="42" spans="1:6" x14ac:dyDescent="0.25">
      <c r="A42" s="26"/>
      <c r="B42" s="26"/>
      <c r="C42" s="26"/>
      <c r="D42" s="26"/>
      <c r="E42" s="26"/>
      <c r="F42" s="26"/>
    </row>
  </sheetData>
  <mergeCells count="8">
    <mergeCell ref="B36:F36"/>
    <mergeCell ref="A38:F42"/>
    <mergeCell ref="A1:E1"/>
    <mergeCell ref="B2:F2"/>
    <mergeCell ref="B3:F3"/>
    <mergeCell ref="B4:F4"/>
    <mergeCell ref="B5:F5"/>
    <mergeCell ref="A29:C29"/>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16" zoomScaleNormal="100" workbookViewId="0">
      <selection activeCell="B28" sqref="B28"/>
    </sheetView>
  </sheetViews>
  <sheetFormatPr defaultColWidth="8.7109375" defaultRowHeight="15" x14ac:dyDescent="0.25"/>
  <cols>
    <col min="1" max="1" width="28.7109375" bestFit="1" customWidth="1"/>
    <col min="2" max="2" width="23.7109375" bestFit="1" customWidth="1"/>
    <col min="3" max="3" width="21.5703125" bestFit="1" customWidth="1"/>
    <col min="4" max="4" width="11.7109375" bestFit="1" customWidth="1"/>
    <col min="5" max="5" width="26" customWidth="1"/>
    <col min="6" max="6" width="16" customWidth="1"/>
  </cols>
  <sheetData>
    <row r="1" spans="1:6" ht="19.5" x14ac:dyDescent="0.3">
      <c r="A1" s="27" t="s">
        <v>54</v>
      </c>
      <c r="B1" s="27"/>
      <c r="C1" s="27"/>
      <c r="D1" s="27"/>
      <c r="E1" s="27"/>
    </row>
    <row r="2" spans="1:6" ht="45" customHeight="1" x14ac:dyDescent="0.25">
      <c r="A2" s="9" t="s">
        <v>36</v>
      </c>
      <c r="B2" s="28" t="s">
        <v>55</v>
      </c>
      <c r="C2" s="28"/>
      <c r="D2" s="28"/>
      <c r="E2" s="28"/>
      <c r="F2" s="28"/>
    </row>
    <row r="3" spans="1:6" x14ac:dyDescent="0.25">
      <c r="A3" s="2" t="s">
        <v>38</v>
      </c>
      <c r="B3" s="29" t="s">
        <v>56</v>
      </c>
      <c r="C3" s="29"/>
      <c r="D3" s="29"/>
      <c r="E3" s="29"/>
      <c r="F3" s="29"/>
    </row>
    <row r="4" spans="1:6" x14ac:dyDescent="0.25">
      <c r="A4" s="2" t="s">
        <v>40</v>
      </c>
      <c r="B4" s="29" t="s">
        <v>57</v>
      </c>
      <c r="C4" s="29"/>
      <c r="D4" s="29"/>
      <c r="E4" s="29"/>
      <c r="F4" s="29"/>
    </row>
    <row r="5" spans="1:6" x14ac:dyDescent="0.25">
      <c r="A5" s="2" t="s">
        <v>42</v>
      </c>
      <c r="B5" s="30">
        <v>0.05</v>
      </c>
      <c r="C5" s="30"/>
      <c r="D5" s="30"/>
      <c r="E5" s="30"/>
      <c r="F5" s="30"/>
    </row>
    <row r="7" spans="1:6" x14ac:dyDescent="0.25">
      <c r="A7" s="10" t="s">
        <v>58</v>
      </c>
      <c r="B7" s="10" t="s">
        <v>59</v>
      </c>
      <c r="C7" s="10" t="s">
        <v>60</v>
      </c>
      <c r="D7" s="10" t="s">
        <v>61</v>
      </c>
    </row>
    <row r="8" spans="1:6" x14ac:dyDescent="0.25">
      <c r="A8" s="11" t="s">
        <v>62</v>
      </c>
      <c r="B8" s="12">
        <v>13</v>
      </c>
      <c r="C8" s="12">
        <v>17</v>
      </c>
      <c r="D8" s="16">
        <f t="shared" ref="D8:D22" si="0">C8-B8</f>
        <v>4</v>
      </c>
    </row>
    <row r="9" spans="1:6" x14ac:dyDescent="0.25">
      <c r="A9" s="11" t="s">
        <v>63</v>
      </c>
      <c r="B9" s="12">
        <v>11</v>
      </c>
      <c r="C9" s="12">
        <v>15</v>
      </c>
      <c r="D9" s="16">
        <f t="shared" si="0"/>
        <v>4</v>
      </c>
    </row>
    <row r="10" spans="1:6" x14ac:dyDescent="0.25">
      <c r="A10" s="11" t="s">
        <v>64</v>
      </c>
      <c r="B10" s="12">
        <v>12</v>
      </c>
      <c r="C10" s="12">
        <v>16</v>
      </c>
      <c r="D10" s="16">
        <f t="shared" si="0"/>
        <v>4</v>
      </c>
    </row>
    <row r="11" spans="1:6" x14ac:dyDescent="0.25">
      <c r="A11" s="11" t="s">
        <v>65</v>
      </c>
      <c r="B11" s="12">
        <v>19</v>
      </c>
      <c r="C11" s="12">
        <v>22</v>
      </c>
      <c r="D11" s="16">
        <f t="shared" si="0"/>
        <v>3</v>
      </c>
    </row>
    <row r="12" spans="1:6" x14ac:dyDescent="0.25">
      <c r="A12" s="11" t="s">
        <v>66</v>
      </c>
      <c r="B12" s="12">
        <v>14</v>
      </c>
      <c r="C12" s="12">
        <v>18</v>
      </c>
      <c r="D12" s="16">
        <f t="shared" si="0"/>
        <v>4</v>
      </c>
    </row>
    <row r="13" spans="1:6" x14ac:dyDescent="0.25">
      <c r="A13" s="11" t="s">
        <v>67</v>
      </c>
      <c r="B13" s="12">
        <v>12</v>
      </c>
      <c r="C13" s="12">
        <v>13</v>
      </c>
      <c r="D13" s="16">
        <f t="shared" si="0"/>
        <v>1</v>
      </c>
    </row>
    <row r="14" spans="1:6" x14ac:dyDescent="0.25">
      <c r="A14" s="11" t="s">
        <v>68</v>
      </c>
      <c r="B14" s="12">
        <v>15</v>
      </c>
      <c r="C14" s="12">
        <v>20</v>
      </c>
      <c r="D14" s="16">
        <f t="shared" si="0"/>
        <v>5</v>
      </c>
    </row>
    <row r="15" spans="1:6" x14ac:dyDescent="0.25">
      <c r="A15" s="11" t="s">
        <v>69</v>
      </c>
      <c r="B15" s="12">
        <v>20</v>
      </c>
      <c r="C15" s="12">
        <v>24</v>
      </c>
      <c r="D15" s="16">
        <f t="shared" si="0"/>
        <v>4</v>
      </c>
    </row>
    <row r="16" spans="1:6" x14ac:dyDescent="0.25">
      <c r="A16" s="11" t="s">
        <v>70</v>
      </c>
      <c r="B16" s="12">
        <v>14</v>
      </c>
      <c r="C16" s="12">
        <v>16</v>
      </c>
      <c r="D16" s="16">
        <f t="shared" si="0"/>
        <v>2</v>
      </c>
    </row>
    <row r="17" spans="1:6" x14ac:dyDescent="0.25">
      <c r="A17" s="11" t="s">
        <v>71</v>
      </c>
      <c r="B17" s="12">
        <v>16</v>
      </c>
      <c r="C17" s="12">
        <v>19</v>
      </c>
      <c r="D17" s="16">
        <f t="shared" si="0"/>
        <v>3</v>
      </c>
    </row>
    <row r="18" spans="1:6" x14ac:dyDescent="0.25">
      <c r="A18" s="11" t="s">
        <v>72</v>
      </c>
      <c r="B18" s="12">
        <v>15</v>
      </c>
      <c r="C18" s="12">
        <v>17</v>
      </c>
      <c r="D18" s="16">
        <f t="shared" si="0"/>
        <v>2</v>
      </c>
    </row>
    <row r="19" spans="1:6" x14ac:dyDescent="0.25">
      <c r="A19" s="11" t="s">
        <v>73</v>
      </c>
      <c r="B19" s="12">
        <v>13</v>
      </c>
      <c r="C19" s="12">
        <v>18</v>
      </c>
      <c r="D19" s="16">
        <f t="shared" si="0"/>
        <v>5</v>
      </c>
    </row>
    <row r="20" spans="1:6" x14ac:dyDescent="0.25">
      <c r="A20" s="11" t="s">
        <v>74</v>
      </c>
      <c r="B20" s="12">
        <v>11</v>
      </c>
      <c r="C20" s="12">
        <v>17</v>
      </c>
      <c r="D20" s="16">
        <f t="shared" si="0"/>
        <v>6</v>
      </c>
    </row>
    <row r="21" spans="1:6" x14ac:dyDescent="0.25">
      <c r="A21" s="11" t="s">
        <v>75</v>
      </c>
      <c r="B21" s="12">
        <v>13</v>
      </c>
      <c r="C21" s="12">
        <v>20</v>
      </c>
      <c r="D21" s="16">
        <f t="shared" si="0"/>
        <v>7</v>
      </c>
    </row>
    <row r="22" spans="1:6" x14ac:dyDescent="0.25">
      <c r="A22" s="11" t="s">
        <v>76</v>
      </c>
      <c r="B22" s="12">
        <v>13</v>
      </c>
      <c r="C22" s="12">
        <v>13</v>
      </c>
      <c r="D22" s="16">
        <f t="shared" si="0"/>
        <v>0</v>
      </c>
    </row>
    <row r="24" spans="1:6" x14ac:dyDescent="0.25">
      <c r="A24" s="31" t="s">
        <v>46</v>
      </c>
      <c r="B24" s="31"/>
      <c r="C24" s="31"/>
    </row>
    <row r="25" spans="1:6" x14ac:dyDescent="0.25">
      <c r="A25" s="2" t="s">
        <v>77</v>
      </c>
      <c r="B25" s="13">
        <f>AVERAGE(B8:B22)</f>
        <v>14.066666666666666</v>
      </c>
    </row>
    <row r="26" spans="1:6" x14ac:dyDescent="0.25">
      <c r="A26" s="2" t="s">
        <v>78</v>
      </c>
      <c r="B26" s="13">
        <f>AVERAGE(C8:C22)</f>
        <v>17.666666666666668</v>
      </c>
    </row>
    <row r="27" spans="1:6" x14ac:dyDescent="0.25">
      <c r="A27" s="2" t="s">
        <v>79</v>
      </c>
      <c r="B27" s="13">
        <f>AVERAGE(D8:D22)</f>
        <v>3.6</v>
      </c>
    </row>
    <row r="28" spans="1:6" x14ac:dyDescent="0.25">
      <c r="A28" s="14" t="s">
        <v>80</v>
      </c>
      <c r="B28" s="15">
        <f>_xlfn.T.TEST(B8:B22,C8:C22,2,1)</f>
        <v>2.6229505543904429E-6</v>
      </c>
    </row>
    <row r="30" spans="1:6" ht="30" customHeight="1" x14ac:dyDescent="0.25">
      <c r="A30" s="14" t="s">
        <v>52</v>
      </c>
      <c r="B30" s="25" t="str">
        <f>IF(B28&lt;0.05,"p &lt; 0.05 -&gt; REJECT H0: the training produced a statistically significant improvement.","p &gt;= 0.05 -&gt; FAIL TO REJECT H0: improvement is not statistically significant.")</f>
        <v>p &lt; 0.05 -&gt; REJECT H0: the training produced a statistically significant improvement.</v>
      </c>
      <c r="C30" s="25"/>
      <c r="D30" s="25"/>
      <c r="E30" s="25"/>
      <c r="F30" s="25"/>
    </row>
    <row r="32" spans="1:6" ht="15" customHeight="1" x14ac:dyDescent="0.25">
      <c r="A32" s="26" t="s">
        <v>81</v>
      </c>
      <c r="B32" s="26"/>
      <c r="C32" s="26"/>
      <c r="D32" s="26"/>
      <c r="E32" s="26"/>
      <c r="F32" s="26"/>
    </row>
    <row r="33" spans="1:6" x14ac:dyDescent="0.25">
      <c r="A33" s="26"/>
      <c r="B33" s="26"/>
      <c r="C33" s="26"/>
      <c r="D33" s="26"/>
      <c r="E33" s="26"/>
      <c r="F33" s="26"/>
    </row>
    <row r="34" spans="1:6" x14ac:dyDescent="0.25">
      <c r="A34" s="26"/>
      <c r="B34" s="26"/>
      <c r="C34" s="26"/>
      <c r="D34" s="26"/>
      <c r="E34" s="26"/>
      <c r="F34" s="26"/>
    </row>
    <row r="35" spans="1:6" x14ac:dyDescent="0.25">
      <c r="A35" s="26"/>
      <c r="B35" s="26"/>
      <c r="C35" s="26"/>
      <c r="D35" s="26"/>
      <c r="E35" s="26"/>
      <c r="F35" s="26"/>
    </row>
    <row r="36" spans="1:6" x14ac:dyDescent="0.25">
      <c r="A36" s="26"/>
      <c r="B36" s="26"/>
      <c r="C36" s="26"/>
      <c r="D36" s="26"/>
      <c r="E36" s="26"/>
      <c r="F36" s="26"/>
    </row>
  </sheetData>
  <mergeCells count="8">
    <mergeCell ref="B30:F30"/>
    <mergeCell ref="A32:F36"/>
    <mergeCell ref="A1:E1"/>
    <mergeCell ref="B2:F2"/>
    <mergeCell ref="B3:F3"/>
    <mergeCell ref="B4:F4"/>
    <mergeCell ref="B5:F5"/>
    <mergeCell ref="A24:C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4"/>
  <sheetViews>
    <sheetView zoomScaleNormal="100" workbookViewId="0">
      <selection activeCell="E22" sqref="E22"/>
    </sheetView>
  </sheetViews>
  <sheetFormatPr defaultColWidth="8.7109375" defaultRowHeight="15" x14ac:dyDescent="0.25"/>
  <cols>
    <col min="1" max="1" width="25.140625" bestFit="1" customWidth="1"/>
    <col min="2" max="4" width="16" customWidth="1"/>
    <col min="5" max="5" width="9.28515625" bestFit="1" customWidth="1"/>
    <col min="6" max="6" width="20" customWidth="1"/>
    <col min="7" max="7" width="14" customWidth="1"/>
  </cols>
  <sheetData>
    <row r="1" spans="1:6" ht="19.5" x14ac:dyDescent="0.3">
      <c r="A1" s="27" t="s">
        <v>82</v>
      </c>
      <c r="B1" s="27"/>
      <c r="C1" s="27"/>
      <c r="D1" s="27"/>
      <c r="E1" s="27"/>
      <c r="F1" s="27"/>
    </row>
    <row r="2" spans="1:6" ht="45" customHeight="1" x14ac:dyDescent="0.25">
      <c r="A2" s="9" t="s">
        <v>36</v>
      </c>
      <c r="B2" s="28" t="s">
        <v>83</v>
      </c>
      <c r="C2" s="28"/>
      <c r="D2" s="28"/>
      <c r="E2" s="28"/>
      <c r="F2" s="28"/>
    </row>
    <row r="3" spans="1:6" x14ac:dyDescent="0.25">
      <c r="A3" s="2" t="s">
        <v>38</v>
      </c>
      <c r="B3" s="29" t="s">
        <v>84</v>
      </c>
      <c r="C3" s="29"/>
      <c r="D3" s="29"/>
      <c r="E3" s="29"/>
      <c r="F3" s="29"/>
    </row>
    <row r="4" spans="1:6" x14ac:dyDescent="0.25">
      <c r="A4" s="2" t="s">
        <v>40</v>
      </c>
      <c r="B4" s="29" t="s">
        <v>85</v>
      </c>
      <c r="C4" s="29"/>
      <c r="D4" s="29"/>
      <c r="E4" s="29"/>
      <c r="F4" s="29"/>
    </row>
    <row r="5" spans="1:6" x14ac:dyDescent="0.25">
      <c r="A5" s="2" t="s">
        <v>42</v>
      </c>
      <c r="B5" s="32">
        <v>0.05</v>
      </c>
      <c r="C5" s="32"/>
      <c r="D5" s="32"/>
      <c r="E5" s="32"/>
      <c r="F5" s="32"/>
    </row>
    <row r="7" spans="1:6" x14ac:dyDescent="0.25">
      <c r="A7" s="10" t="s">
        <v>86</v>
      </c>
      <c r="B7" s="10" t="s">
        <v>87</v>
      </c>
      <c r="C7" s="10" t="s">
        <v>88</v>
      </c>
      <c r="D7" s="10" t="s">
        <v>89</v>
      </c>
      <c r="E7" s="10" t="s">
        <v>90</v>
      </c>
    </row>
    <row r="8" spans="1:6" x14ac:dyDescent="0.25">
      <c r="A8" s="11">
        <v>1</v>
      </c>
      <c r="B8" s="17">
        <v>3.42</v>
      </c>
      <c r="C8" s="17">
        <v>5.0999999999999996</v>
      </c>
      <c r="D8" s="17">
        <v>5.1100000000000003</v>
      </c>
      <c r="E8" s="17">
        <v>3.86</v>
      </c>
    </row>
    <row r="9" spans="1:6" x14ac:dyDescent="0.25">
      <c r="A9" s="11">
        <v>2</v>
      </c>
      <c r="B9" s="17">
        <v>3.75</v>
      </c>
      <c r="C9" s="17">
        <v>6.66</v>
      </c>
      <c r="D9" s="17">
        <v>5.76</v>
      </c>
      <c r="E9" s="17">
        <v>6.11</v>
      </c>
    </row>
    <row r="10" spans="1:6" x14ac:dyDescent="0.25">
      <c r="A10" s="11">
        <v>3</v>
      </c>
      <c r="B10" s="17">
        <v>1.88</v>
      </c>
      <c r="C10" s="17">
        <v>4.6399999999999997</v>
      </c>
      <c r="D10" s="17">
        <v>6.13</v>
      </c>
      <c r="E10" s="17">
        <v>1.91</v>
      </c>
    </row>
    <row r="11" spans="1:6" x14ac:dyDescent="0.25">
      <c r="A11" s="11">
        <v>4</v>
      </c>
      <c r="B11" s="17">
        <v>5.28</v>
      </c>
      <c r="C11" s="17">
        <v>3.59</v>
      </c>
      <c r="D11" s="17">
        <v>5.01</v>
      </c>
      <c r="E11" s="17">
        <v>4.2</v>
      </c>
    </row>
    <row r="12" spans="1:6" x14ac:dyDescent="0.25">
      <c r="A12" s="11">
        <v>5</v>
      </c>
      <c r="B12" s="17">
        <v>2.19</v>
      </c>
      <c r="C12" s="17">
        <v>5.09</v>
      </c>
      <c r="D12" s="17">
        <v>5.6</v>
      </c>
      <c r="E12" s="17">
        <v>4.43</v>
      </c>
    </row>
    <row r="13" spans="1:6" x14ac:dyDescent="0.25">
      <c r="A13" s="11">
        <v>6</v>
      </c>
      <c r="B13" s="17">
        <v>3.04</v>
      </c>
      <c r="C13" s="17">
        <v>4.0599999999999996</v>
      </c>
      <c r="D13" s="17">
        <v>5.69</v>
      </c>
      <c r="E13" s="17">
        <v>5.32</v>
      </c>
    </row>
    <row r="14" spans="1:6" x14ac:dyDescent="0.25">
      <c r="A14" s="11">
        <v>7</v>
      </c>
      <c r="B14" s="17">
        <v>4.25</v>
      </c>
      <c r="C14" s="17">
        <v>4.58</v>
      </c>
      <c r="D14" s="17">
        <v>5.33</v>
      </c>
      <c r="E14" s="17">
        <v>4.55</v>
      </c>
    </row>
    <row r="15" spans="1:6" x14ac:dyDescent="0.25">
      <c r="A15" s="11">
        <v>8</v>
      </c>
      <c r="B15" s="17">
        <v>2.68</v>
      </c>
      <c r="C15" s="17">
        <v>5.66</v>
      </c>
      <c r="D15" s="17">
        <v>4.83</v>
      </c>
      <c r="E15" s="17">
        <v>3.34</v>
      </c>
    </row>
    <row r="16" spans="1:6" x14ac:dyDescent="0.25">
      <c r="A16" s="11">
        <v>9</v>
      </c>
      <c r="B16" s="17">
        <v>2.85</v>
      </c>
      <c r="C16" s="17">
        <v>3.93</v>
      </c>
      <c r="D16" s="17">
        <v>4.62</v>
      </c>
      <c r="E16" s="17">
        <v>4.0999999999999996</v>
      </c>
    </row>
    <row r="17" spans="1:7" x14ac:dyDescent="0.25">
      <c r="A17" s="11">
        <v>10</v>
      </c>
      <c r="B17" s="17">
        <v>2.98</v>
      </c>
      <c r="C17" s="17">
        <v>4.6100000000000003</v>
      </c>
      <c r="D17" s="17">
        <v>5.76</v>
      </c>
      <c r="E17" s="17">
        <v>4.59</v>
      </c>
    </row>
    <row r="19" spans="1:7" x14ac:dyDescent="0.25">
      <c r="A19" s="31" t="s">
        <v>91</v>
      </c>
      <c r="B19" s="31"/>
      <c r="C19" s="31"/>
      <c r="D19" s="31"/>
      <c r="E19" s="31"/>
    </row>
    <row r="20" spans="1:7" x14ac:dyDescent="0.25">
      <c r="A20" s="2" t="s">
        <v>92</v>
      </c>
      <c r="B20" s="18">
        <f>AVERAGE(B8:B17)</f>
        <v>3.2320000000000002</v>
      </c>
      <c r="C20" s="18">
        <f>AVERAGE(C8:C17)</f>
        <v>4.7919999999999998</v>
      </c>
      <c r="D20" s="18">
        <f>AVERAGE(D8:D17)</f>
        <v>5.3839999999999986</v>
      </c>
      <c r="E20" s="18">
        <f>AVERAGE(E8:E17)</f>
        <v>4.2409999999999997</v>
      </c>
    </row>
    <row r="21" spans="1:7" x14ac:dyDescent="0.25">
      <c r="A21" s="2" t="s">
        <v>93</v>
      </c>
      <c r="B21" s="18">
        <f>_xlfn.VAR.S(B8:B17)</f>
        <v>0.99988444444444413</v>
      </c>
      <c r="C21" s="18">
        <f>_xlfn.VAR.S(C8:C17)</f>
        <v>0.80570666666667357</v>
      </c>
      <c r="D21" s="18">
        <f>_xlfn.VAR.S(D8:D17)</f>
        <v>0.23200444444444443</v>
      </c>
      <c r="E21" s="18">
        <f>_xlfn.VAR.S(E8:E17)</f>
        <v>1.2580544444444461</v>
      </c>
    </row>
    <row r="23" spans="1:7" ht="15" customHeight="1" x14ac:dyDescent="0.25">
      <c r="A23" s="41" t="s">
        <v>94</v>
      </c>
      <c r="B23" s="41"/>
      <c r="C23" s="41"/>
      <c r="D23" s="41"/>
      <c r="E23" s="41"/>
      <c r="F23" s="41"/>
      <c r="G23" s="1"/>
    </row>
    <row r="24" spans="1:7" x14ac:dyDescent="0.25">
      <c r="A24" s="41"/>
      <c r="B24" s="41"/>
      <c r="C24" s="41"/>
      <c r="D24" s="41"/>
      <c r="E24" s="41"/>
      <c r="F24" s="41"/>
      <c r="G24" s="1"/>
    </row>
    <row r="25" spans="1:7" x14ac:dyDescent="0.25">
      <c r="A25" s="41"/>
      <c r="B25" s="41"/>
      <c r="C25" s="41"/>
      <c r="D25" s="41"/>
      <c r="E25" s="41"/>
      <c r="F25" s="41"/>
      <c r="G25" s="1"/>
    </row>
    <row r="26" spans="1:7" x14ac:dyDescent="0.25">
      <c r="A26" s="41"/>
      <c r="B26" s="41"/>
      <c r="C26" s="41"/>
      <c r="D26" s="41"/>
      <c r="E26" s="41"/>
      <c r="F26" s="41"/>
      <c r="G26" s="1"/>
    </row>
    <row r="27" spans="1:7" x14ac:dyDescent="0.25">
      <c r="A27" s="41"/>
      <c r="B27" s="41"/>
      <c r="C27" s="41"/>
      <c r="D27" s="41"/>
      <c r="E27" s="41"/>
      <c r="F27" s="41"/>
      <c r="G27" s="1"/>
    </row>
    <row r="28" spans="1:7" x14ac:dyDescent="0.25">
      <c r="A28" s="41"/>
      <c r="B28" s="41"/>
      <c r="C28" s="41"/>
      <c r="D28" s="41"/>
      <c r="E28" s="41"/>
      <c r="F28" s="41"/>
      <c r="G28" s="1"/>
    </row>
    <row r="29" spans="1:7" x14ac:dyDescent="0.25">
      <c r="A29" s="41"/>
      <c r="B29" s="41"/>
      <c r="C29" s="41"/>
      <c r="D29" s="41"/>
      <c r="E29" s="41"/>
      <c r="F29" s="41"/>
      <c r="G29" s="1"/>
    </row>
    <row r="30" spans="1:7" x14ac:dyDescent="0.25">
      <c r="A30" s="41"/>
      <c r="B30" s="41"/>
      <c r="C30" s="41"/>
      <c r="D30" s="41"/>
      <c r="E30" s="41"/>
      <c r="F30" s="41"/>
      <c r="G30" s="1"/>
    </row>
    <row r="31" spans="1:7" x14ac:dyDescent="0.25">
      <c r="A31" s="41"/>
      <c r="B31" s="41"/>
      <c r="C31" s="41"/>
      <c r="D31" s="41"/>
      <c r="E31" s="41"/>
      <c r="F31" s="41"/>
    </row>
    <row r="32" spans="1:7" x14ac:dyDescent="0.25">
      <c r="A32" s="41"/>
      <c r="B32" s="41"/>
      <c r="C32" s="41"/>
      <c r="D32" s="41"/>
      <c r="E32" s="41"/>
      <c r="F32" s="41"/>
    </row>
    <row r="33" spans="1:6" x14ac:dyDescent="0.25">
      <c r="A33" s="41"/>
      <c r="B33" s="41"/>
      <c r="C33" s="41"/>
      <c r="D33" s="41"/>
      <c r="E33" s="41"/>
      <c r="F33" s="41"/>
    </row>
    <row r="34" spans="1:6" x14ac:dyDescent="0.25">
      <c r="A34" s="41"/>
      <c r="B34" s="41"/>
      <c r="C34" s="41"/>
      <c r="D34" s="41"/>
      <c r="E34" s="41"/>
      <c r="F34" s="41"/>
    </row>
  </sheetData>
  <mergeCells count="7">
    <mergeCell ref="A23:F34"/>
    <mergeCell ref="A1:F1"/>
    <mergeCell ref="B2:F2"/>
    <mergeCell ref="B3:F3"/>
    <mergeCell ref="B4:F4"/>
    <mergeCell ref="B5:F5"/>
    <mergeCell ref="A19:E1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topLeftCell="A4" zoomScaleNormal="100" workbookViewId="0">
      <selection activeCell="C20" sqref="C20"/>
    </sheetView>
  </sheetViews>
  <sheetFormatPr defaultColWidth="8.7109375" defaultRowHeight="15" x14ac:dyDescent="0.25"/>
  <cols>
    <col min="1" max="1" width="25.140625" bestFit="1" customWidth="1"/>
    <col min="2" max="4" width="12" customWidth="1"/>
    <col min="5" max="5" width="11.140625" bestFit="1" customWidth="1"/>
    <col min="6" max="6" width="4" customWidth="1"/>
    <col min="7" max="7" width="16" customWidth="1"/>
  </cols>
  <sheetData>
    <row r="1" spans="1:6" ht="19.5" x14ac:dyDescent="0.3">
      <c r="A1" s="27" t="s">
        <v>95</v>
      </c>
      <c r="B1" s="27"/>
      <c r="C1" s="27"/>
      <c r="D1" s="27"/>
      <c r="E1" s="27"/>
    </row>
    <row r="2" spans="1:6" ht="45" customHeight="1" x14ac:dyDescent="0.25">
      <c r="A2" s="9" t="s">
        <v>36</v>
      </c>
      <c r="B2" s="28" t="s">
        <v>96</v>
      </c>
      <c r="C2" s="28"/>
      <c r="D2" s="28"/>
      <c r="E2" s="28"/>
      <c r="F2" s="28"/>
    </row>
    <row r="3" spans="1:6" x14ac:dyDescent="0.25">
      <c r="A3" s="2" t="s">
        <v>38</v>
      </c>
      <c r="B3" s="29" t="s">
        <v>97</v>
      </c>
      <c r="C3" s="29"/>
      <c r="D3" s="29"/>
      <c r="E3" s="29"/>
      <c r="F3" s="29"/>
    </row>
    <row r="4" spans="1:6" x14ac:dyDescent="0.25">
      <c r="A4" s="2" t="s">
        <v>40</v>
      </c>
      <c r="B4" s="29" t="s">
        <v>98</v>
      </c>
      <c r="C4" s="29"/>
      <c r="D4" s="29"/>
      <c r="E4" s="29"/>
      <c r="F4" s="29"/>
    </row>
    <row r="5" spans="1:6" x14ac:dyDescent="0.25">
      <c r="A5" s="2" t="s">
        <v>42</v>
      </c>
      <c r="B5" s="32">
        <v>0.05</v>
      </c>
      <c r="C5" s="32"/>
      <c r="D5" s="32"/>
      <c r="E5" s="32"/>
      <c r="F5" s="32"/>
    </row>
    <row r="7" spans="1:6" x14ac:dyDescent="0.25">
      <c r="A7" s="31" t="s">
        <v>99</v>
      </c>
      <c r="B7" s="31"/>
      <c r="C7" s="31"/>
      <c r="D7" s="31"/>
      <c r="E7" s="31"/>
    </row>
    <row r="8" spans="1:6" x14ac:dyDescent="0.25">
      <c r="A8" s="10" t="s">
        <v>100</v>
      </c>
      <c r="B8" s="10" t="s">
        <v>101</v>
      </c>
      <c r="C8" s="10" t="s">
        <v>102</v>
      </c>
      <c r="D8" s="10" t="s">
        <v>103</v>
      </c>
      <c r="E8" s="10" t="s">
        <v>104</v>
      </c>
    </row>
    <row r="9" spans="1:6" x14ac:dyDescent="0.25">
      <c r="A9" s="11" t="s">
        <v>105</v>
      </c>
      <c r="B9" s="12">
        <v>62</v>
      </c>
      <c r="C9" s="12">
        <v>45</v>
      </c>
      <c r="D9" s="12">
        <v>38</v>
      </c>
      <c r="E9" s="11">
        <f>SUM(B9:D9)</f>
        <v>145</v>
      </c>
    </row>
    <row r="10" spans="1:6" x14ac:dyDescent="0.25">
      <c r="A10" s="11" t="s">
        <v>106</v>
      </c>
      <c r="B10" s="12">
        <v>30</v>
      </c>
      <c r="C10" s="12">
        <v>70</v>
      </c>
      <c r="D10" s="12">
        <v>25</v>
      </c>
      <c r="E10" s="11">
        <f>SUM(B10:D10)</f>
        <v>125</v>
      </c>
    </row>
    <row r="11" spans="1:6" x14ac:dyDescent="0.25">
      <c r="A11" s="11" t="s">
        <v>107</v>
      </c>
      <c r="B11" s="12">
        <v>48</v>
      </c>
      <c r="C11" s="12">
        <v>32</v>
      </c>
      <c r="D11" s="12">
        <v>55</v>
      </c>
      <c r="E11" s="11">
        <f>SUM(B11:D11)</f>
        <v>135</v>
      </c>
    </row>
    <row r="12" spans="1:6" x14ac:dyDescent="0.25">
      <c r="A12" s="11" t="s">
        <v>108</v>
      </c>
      <c r="B12" s="12">
        <v>40</v>
      </c>
      <c r="C12" s="12">
        <v>38</v>
      </c>
      <c r="D12" s="12">
        <v>17</v>
      </c>
      <c r="E12" s="11">
        <f>SUM(B12:D12)</f>
        <v>95</v>
      </c>
    </row>
    <row r="13" spans="1:6" x14ac:dyDescent="0.25">
      <c r="A13" s="19" t="s">
        <v>109</v>
      </c>
      <c r="B13" s="19">
        <f>SUM(B9:B12)</f>
        <v>180</v>
      </c>
      <c r="C13" s="19">
        <f>SUM(C9:C12)</f>
        <v>185</v>
      </c>
      <c r="D13" s="19">
        <f>SUM(D9:D12)</f>
        <v>135</v>
      </c>
      <c r="E13" s="19">
        <f>SUM(E9:E12)</f>
        <v>500</v>
      </c>
    </row>
    <row r="15" spans="1:6" x14ac:dyDescent="0.25">
      <c r="A15" s="31" t="s">
        <v>110</v>
      </c>
      <c r="B15" s="31"/>
      <c r="C15" s="31"/>
      <c r="D15" s="31"/>
      <c r="E15" s="31"/>
    </row>
    <row r="16" spans="1:6" x14ac:dyDescent="0.25">
      <c r="A16" s="10" t="s">
        <v>100</v>
      </c>
      <c r="B16" s="10" t="s">
        <v>101</v>
      </c>
      <c r="C16" s="10" t="s">
        <v>102</v>
      </c>
      <c r="D16" s="10" t="s">
        <v>103</v>
      </c>
      <c r="E16" s="10" t="s">
        <v>104</v>
      </c>
    </row>
    <row r="17" spans="1:7" x14ac:dyDescent="0.25">
      <c r="A17" s="11" t="s">
        <v>105</v>
      </c>
      <c r="B17" s="20">
        <f t="shared" ref="B17:D20" si="0">$E9*B$13/$E$13</f>
        <v>52.2</v>
      </c>
      <c r="C17" s="20">
        <f t="shared" si="0"/>
        <v>53.65</v>
      </c>
      <c r="D17" s="20">
        <f t="shared" si="0"/>
        <v>39.15</v>
      </c>
    </row>
    <row r="18" spans="1:7" x14ac:dyDescent="0.25">
      <c r="A18" s="11" t="s">
        <v>106</v>
      </c>
      <c r="B18" s="20">
        <f t="shared" si="0"/>
        <v>45</v>
      </c>
      <c r="C18" s="20">
        <f t="shared" si="0"/>
        <v>46.25</v>
      </c>
      <c r="D18" s="20">
        <f t="shared" si="0"/>
        <v>33.75</v>
      </c>
    </row>
    <row r="19" spans="1:7" x14ac:dyDescent="0.25">
      <c r="A19" s="11" t="s">
        <v>107</v>
      </c>
      <c r="B19" s="20">
        <f t="shared" si="0"/>
        <v>48.6</v>
      </c>
      <c r="C19" s="20">
        <f t="shared" si="0"/>
        <v>49.95</v>
      </c>
      <c r="D19" s="20">
        <f t="shared" si="0"/>
        <v>36.450000000000003</v>
      </c>
    </row>
    <row r="20" spans="1:7" x14ac:dyDescent="0.25">
      <c r="A20" s="11" t="s">
        <v>108</v>
      </c>
      <c r="B20" s="20">
        <f t="shared" si="0"/>
        <v>34.200000000000003</v>
      </c>
      <c r="C20" s="20">
        <f t="shared" si="0"/>
        <v>35.15</v>
      </c>
      <c r="D20" s="20">
        <f t="shared" si="0"/>
        <v>25.65</v>
      </c>
    </row>
    <row r="22" spans="1:7" x14ac:dyDescent="0.25">
      <c r="A22" s="31" t="s">
        <v>46</v>
      </c>
      <c r="B22" s="31"/>
      <c r="C22" s="31"/>
    </row>
    <row r="23" spans="1:7" x14ac:dyDescent="0.25">
      <c r="A23" s="14" t="s">
        <v>111</v>
      </c>
      <c r="B23" s="15">
        <f>_xlfn.CHISQ.TEST(B9:D12,B17:D20)</f>
        <v>1.2995297630060555E-7</v>
      </c>
    </row>
    <row r="25" spans="1:7" ht="30" customHeight="1" x14ac:dyDescent="0.25">
      <c r="A25" s="14" t="s">
        <v>52</v>
      </c>
      <c r="B25" s="25" t="str">
        <f>IF(B23&lt;0.05,"p &lt; 0.05 -&gt; REJECT H0: product preference significantly depends on region.","p &gt;= 0.05 -&gt; FAIL TO REJECT H0: no significant relationship between region and preference.")</f>
        <v>p &lt; 0.05 -&gt; REJECT H0: product preference significantly depends on region.</v>
      </c>
      <c r="C25" s="25"/>
      <c r="D25" s="25"/>
      <c r="E25" s="25"/>
      <c r="F25" s="25"/>
    </row>
    <row r="27" spans="1:7" ht="15" customHeight="1" x14ac:dyDescent="0.25">
      <c r="A27" s="26" t="s">
        <v>112</v>
      </c>
      <c r="B27" s="26"/>
      <c r="C27" s="26"/>
      <c r="D27" s="26"/>
      <c r="E27" s="26"/>
      <c r="F27" s="26"/>
      <c r="G27" s="26"/>
    </row>
    <row r="28" spans="1:7" x14ac:dyDescent="0.25">
      <c r="A28" s="26"/>
      <c r="B28" s="26"/>
      <c r="C28" s="26"/>
      <c r="D28" s="26"/>
      <c r="E28" s="26"/>
      <c r="F28" s="26"/>
      <c r="G28" s="26"/>
    </row>
    <row r="29" spans="1:7" x14ac:dyDescent="0.25">
      <c r="A29" s="26"/>
      <c r="B29" s="26"/>
      <c r="C29" s="26"/>
      <c r="D29" s="26"/>
      <c r="E29" s="26"/>
      <c r="F29" s="26"/>
      <c r="G29" s="26"/>
    </row>
    <row r="30" spans="1:7" x14ac:dyDescent="0.25">
      <c r="A30" s="26"/>
      <c r="B30" s="26"/>
      <c r="C30" s="26"/>
      <c r="D30" s="26"/>
      <c r="E30" s="26"/>
      <c r="F30" s="26"/>
      <c r="G30" s="26"/>
    </row>
    <row r="31" spans="1:7" x14ac:dyDescent="0.25">
      <c r="A31" s="26"/>
      <c r="B31" s="26"/>
      <c r="C31" s="26"/>
      <c r="D31" s="26"/>
      <c r="E31" s="26"/>
      <c r="F31" s="26"/>
      <c r="G31" s="26"/>
    </row>
    <row r="32" spans="1:7" x14ac:dyDescent="0.25">
      <c r="A32" s="26"/>
      <c r="B32" s="26"/>
      <c r="C32" s="26"/>
      <c r="D32" s="26"/>
      <c r="E32" s="26"/>
      <c r="F32" s="26"/>
      <c r="G32" s="26"/>
    </row>
  </sheetData>
  <mergeCells count="10">
    <mergeCell ref="A15:E15"/>
    <mergeCell ref="A22:C22"/>
    <mergeCell ref="B25:F25"/>
    <mergeCell ref="A27:G32"/>
    <mergeCell ref="A1:E1"/>
    <mergeCell ref="B2:F2"/>
    <mergeCell ref="B3:F3"/>
    <mergeCell ref="B4:F4"/>
    <mergeCell ref="B5:F5"/>
    <mergeCell ref="A7:E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0"/>
  <sheetViews>
    <sheetView topLeftCell="A13" zoomScaleNormal="100" workbookViewId="0">
      <selection activeCell="B29" sqref="B29"/>
    </sheetView>
  </sheetViews>
  <sheetFormatPr defaultColWidth="8.7109375" defaultRowHeight="15" x14ac:dyDescent="0.25"/>
  <cols>
    <col min="1" max="1" width="14" customWidth="1"/>
    <col min="2" max="3" width="16" customWidth="1"/>
    <col min="4" max="4" width="4" customWidth="1"/>
    <col min="5" max="5" width="26" customWidth="1"/>
    <col min="6" max="6" width="14" customWidth="1"/>
  </cols>
  <sheetData>
    <row r="1" spans="1:6" ht="19.5" x14ac:dyDescent="0.3">
      <c r="A1" s="8" t="s">
        <v>113</v>
      </c>
    </row>
    <row r="2" spans="1:6" ht="45" customHeight="1" x14ac:dyDescent="0.25">
      <c r="A2" s="9" t="s">
        <v>36</v>
      </c>
      <c r="B2" s="28" t="s">
        <v>114</v>
      </c>
      <c r="C2" s="28"/>
      <c r="D2" s="28"/>
      <c r="E2" s="28"/>
      <c r="F2" s="28"/>
    </row>
    <row r="3" spans="1:6" x14ac:dyDescent="0.25">
      <c r="A3" s="2" t="s">
        <v>38</v>
      </c>
      <c r="B3" s="29" t="s">
        <v>115</v>
      </c>
      <c r="C3" s="29"/>
      <c r="D3" s="29"/>
      <c r="E3" s="29"/>
      <c r="F3" s="29"/>
    </row>
    <row r="4" spans="1:6" x14ac:dyDescent="0.25">
      <c r="A4" s="2" t="s">
        <v>40</v>
      </c>
      <c r="B4" s="29" t="s">
        <v>116</v>
      </c>
      <c r="C4" s="29"/>
      <c r="D4" s="29"/>
      <c r="E4" s="29"/>
      <c r="F4" s="29"/>
    </row>
    <row r="5" spans="1:6" x14ac:dyDescent="0.25">
      <c r="A5" s="2" t="s">
        <v>42</v>
      </c>
      <c r="B5" s="32">
        <v>0.05</v>
      </c>
      <c r="C5" s="32"/>
      <c r="D5" s="32"/>
      <c r="E5" s="32"/>
      <c r="F5" s="32"/>
    </row>
    <row r="7" spans="1:6" x14ac:dyDescent="0.25">
      <c r="A7" s="10" t="s">
        <v>117</v>
      </c>
      <c r="B7" s="10" t="s">
        <v>118</v>
      </c>
      <c r="C7" s="10" t="s">
        <v>119</v>
      </c>
    </row>
    <row r="8" spans="1:6" x14ac:dyDescent="0.25">
      <c r="A8" s="11">
        <v>1</v>
      </c>
      <c r="B8" s="12">
        <v>26.5</v>
      </c>
      <c r="C8" s="12">
        <v>136.6</v>
      </c>
    </row>
    <row r="9" spans="1:6" x14ac:dyDescent="0.25">
      <c r="A9" s="11">
        <v>2</v>
      </c>
      <c r="B9" s="12">
        <v>31.2</v>
      </c>
      <c r="C9" s="12">
        <v>136.6</v>
      </c>
    </row>
    <row r="10" spans="1:6" x14ac:dyDescent="0.25">
      <c r="A10" s="11">
        <v>3</v>
      </c>
      <c r="B10" s="12">
        <v>18.7</v>
      </c>
      <c r="C10" s="12">
        <v>134.6</v>
      </c>
    </row>
    <row r="11" spans="1:6" x14ac:dyDescent="0.25">
      <c r="A11" s="11">
        <v>4</v>
      </c>
      <c r="B11" s="12">
        <v>25.3</v>
      </c>
      <c r="C11" s="12">
        <v>124.4</v>
      </c>
    </row>
    <row r="12" spans="1:6" x14ac:dyDescent="0.25">
      <c r="A12" s="11">
        <v>5</v>
      </c>
      <c r="B12" s="12">
        <v>36.799999999999997</v>
      </c>
      <c r="C12" s="12">
        <v>160</v>
      </c>
    </row>
    <row r="13" spans="1:6" x14ac:dyDescent="0.25">
      <c r="A13" s="11">
        <v>6</v>
      </c>
      <c r="B13" s="12">
        <v>36.9</v>
      </c>
      <c r="C13" s="12">
        <v>175</v>
      </c>
    </row>
    <row r="14" spans="1:6" x14ac:dyDescent="0.25">
      <c r="A14" s="11">
        <v>7</v>
      </c>
      <c r="B14" s="12">
        <v>13.8</v>
      </c>
      <c r="C14" s="12">
        <v>126.5</v>
      </c>
    </row>
    <row r="15" spans="1:6" x14ac:dyDescent="0.25">
      <c r="A15" s="11">
        <v>8</v>
      </c>
      <c r="B15" s="12">
        <v>16.2</v>
      </c>
      <c r="C15" s="12">
        <v>115.4</v>
      </c>
    </row>
    <row r="16" spans="1:6" x14ac:dyDescent="0.25">
      <c r="A16" s="11">
        <v>9</v>
      </c>
      <c r="B16" s="12">
        <v>11.5</v>
      </c>
      <c r="C16" s="12">
        <v>81.400000000000006</v>
      </c>
    </row>
    <row r="17" spans="1:3" x14ac:dyDescent="0.25">
      <c r="A17" s="11">
        <v>10</v>
      </c>
      <c r="B17" s="12">
        <v>23.2</v>
      </c>
      <c r="C17" s="12">
        <v>123.5</v>
      </c>
    </row>
    <row r="18" spans="1:3" x14ac:dyDescent="0.25">
      <c r="A18" s="11">
        <v>11</v>
      </c>
      <c r="B18" s="12">
        <v>10.9</v>
      </c>
      <c r="C18" s="12">
        <v>104.3</v>
      </c>
    </row>
    <row r="19" spans="1:3" x14ac:dyDescent="0.25">
      <c r="A19" s="11">
        <v>12</v>
      </c>
      <c r="B19" s="12">
        <v>23.7</v>
      </c>
      <c r="C19" s="12">
        <v>133.4</v>
      </c>
    </row>
    <row r="20" spans="1:3" x14ac:dyDescent="0.25">
      <c r="A20" s="11">
        <v>13</v>
      </c>
      <c r="B20" s="12">
        <v>29.5</v>
      </c>
      <c r="C20" s="12">
        <v>142.9</v>
      </c>
    </row>
    <row r="21" spans="1:3" x14ac:dyDescent="0.25">
      <c r="A21" s="11">
        <v>14</v>
      </c>
      <c r="B21" s="12">
        <v>18.399999999999999</v>
      </c>
      <c r="C21" s="12">
        <v>115.4</v>
      </c>
    </row>
    <row r="22" spans="1:3" x14ac:dyDescent="0.25">
      <c r="A22" s="11">
        <v>15</v>
      </c>
      <c r="B22" s="12">
        <v>30.3</v>
      </c>
      <c r="C22" s="12">
        <v>168.1</v>
      </c>
    </row>
    <row r="23" spans="1:3" x14ac:dyDescent="0.25">
      <c r="A23" s="11">
        <v>16</v>
      </c>
      <c r="B23" s="12">
        <v>27.7</v>
      </c>
      <c r="C23" s="12">
        <v>178.3</v>
      </c>
    </row>
    <row r="24" spans="1:3" x14ac:dyDescent="0.25">
      <c r="A24" s="11">
        <v>17</v>
      </c>
      <c r="B24" s="12">
        <v>10.7</v>
      </c>
      <c r="C24" s="12">
        <v>75.599999999999994</v>
      </c>
    </row>
    <row r="25" spans="1:3" x14ac:dyDescent="0.25">
      <c r="A25" s="11">
        <v>18</v>
      </c>
      <c r="B25" s="12">
        <v>26.8</v>
      </c>
      <c r="C25" s="12">
        <v>136.4</v>
      </c>
    </row>
    <row r="27" spans="1:3" x14ac:dyDescent="0.25">
      <c r="A27" s="31" t="s">
        <v>46</v>
      </c>
      <c r="B27" s="31"/>
      <c r="C27" s="31"/>
    </row>
    <row r="28" spans="1:3" x14ac:dyDescent="0.25">
      <c r="A28" s="2" t="s">
        <v>120</v>
      </c>
      <c r="B28" s="21">
        <f>COUNT(A8:A25)</f>
        <v>18</v>
      </c>
    </row>
    <row r="29" spans="1:3" x14ac:dyDescent="0.25">
      <c r="A29" s="2" t="s">
        <v>121</v>
      </c>
      <c r="B29" s="22">
        <f>CORREL(B8:B25,C8:C25)</f>
        <v>0.85233476807006392</v>
      </c>
    </row>
    <row r="30" spans="1:3" x14ac:dyDescent="0.25">
      <c r="A30" s="2" t="s">
        <v>122</v>
      </c>
      <c r="B30" s="22">
        <f>B29*SQRT(B28-2)/SQRT(1-B29^2)</f>
        <v>6.5188551421283831</v>
      </c>
    </row>
    <row r="31" spans="1:3" x14ac:dyDescent="0.25">
      <c r="A31" s="14" t="s">
        <v>123</v>
      </c>
      <c r="B31" s="23">
        <f>_xlfn.T.DIST.2T(ABS(B30),B28-2)</f>
        <v>7.0757570432841942E-6</v>
      </c>
    </row>
    <row r="33" spans="1:7" ht="30" customHeight="1" x14ac:dyDescent="0.25">
      <c r="A33" s="14" t="s">
        <v>52</v>
      </c>
      <c r="B33" s="25" t="str">
        <f>IF(B31&lt;0.05,"p &lt; 0.05 -&gt; REJECT H0: the correlation is statistically significant - the relationship is real.","p &gt;= 0.05 -&gt; FAIL TO REJECT H0: cannot conclude a real relationship exists.")</f>
        <v>p &lt; 0.05 -&gt; REJECT H0: the correlation is statistically significant - the relationship is real.</v>
      </c>
      <c r="C33" s="25"/>
      <c r="D33" s="25"/>
      <c r="E33" s="25"/>
      <c r="F33" s="25"/>
    </row>
    <row r="35" spans="1:7" ht="15" customHeight="1" x14ac:dyDescent="0.25">
      <c r="A35" s="26" t="s">
        <v>124</v>
      </c>
      <c r="B35" s="26"/>
      <c r="C35" s="26"/>
      <c r="D35" s="26"/>
      <c r="E35" s="26"/>
      <c r="F35" s="26"/>
      <c r="G35" s="26"/>
    </row>
    <row r="36" spans="1:7" x14ac:dyDescent="0.25">
      <c r="A36" s="26"/>
      <c r="B36" s="26"/>
      <c r="C36" s="26"/>
      <c r="D36" s="26"/>
      <c r="E36" s="26"/>
      <c r="F36" s="26"/>
      <c r="G36" s="26"/>
    </row>
    <row r="37" spans="1:7" x14ac:dyDescent="0.25">
      <c r="A37" s="26"/>
      <c r="B37" s="26"/>
      <c r="C37" s="26"/>
      <c r="D37" s="26"/>
      <c r="E37" s="26"/>
      <c r="F37" s="26"/>
      <c r="G37" s="26"/>
    </row>
    <row r="38" spans="1:7" x14ac:dyDescent="0.25">
      <c r="A38" s="26"/>
      <c r="B38" s="26"/>
      <c r="C38" s="26"/>
      <c r="D38" s="26"/>
      <c r="E38" s="26"/>
      <c r="F38" s="26"/>
      <c r="G38" s="26"/>
    </row>
    <row r="39" spans="1:7" x14ac:dyDescent="0.25">
      <c r="A39" s="26"/>
      <c r="B39" s="26"/>
      <c r="C39" s="26"/>
      <c r="D39" s="26"/>
      <c r="E39" s="26"/>
      <c r="F39" s="26"/>
      <c r="G39" s="26"/>
    </row>
    <row r="40" spans="1:7" x14ac:dyDescent="0.25">
      <c r="A40" s="26"/>
      <c r="B40" s="26"/>
      <c r="C40" s="26"/>
      <c r="D40" s="26"/>
      <c r="E40" s="26"/>
      <c r="F40" s="26"/>
      <c r="G40" s="26"/>
    </row>
  </sheetData>
  <mergeCells count="7">
    <mergeCell ref="B33:F33"/>
    <mergeCell ref="A35:G40"/>
    <mergeCell ref="B2:F2"/>
    <mergeCell ref="B3:F3"/>
    <mergeCell ref="B4:F4"/>
    <mergeCell ref="B5:F5"/>
    <mergeCell ref="A27:C2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6"/>
  <sheetViews>
    <sheetView zoomScaleNormal="100" workbookViewId="0"/>
  </sheetViews>
  <sheetFormatPr defaultColWidth="8.7109375" defaultRowHeight="15" x14ac:dyDescent="0.25"/>
  <cols>
    <col min="1" max="1" width="10" customWidth="1"/>
    <col min="2" max="2" width="14" customWidth="1"/>
    <col min="3" max="4" width="16" customWidth="1"/>
    <col min="5" max="5" width="14" customWidth="1"/>
    <col min="6" max="6" width="4" customWidth="1"/>
    <col min="7" max="7" width="22" customWidth="1"/>
    <col min="8" max="8" width="14" customWidth="1"/>
  </cols>
  <sheetData>
    <row r="1" spans="1:8" ht="19.5" x14ac:dyDescent="0.3">
      <c r="A1" s="8" t="s">
        <v>125</v>
      </c>
    </row>
    <row r="2" spans="1:8" ht="45" customHeight="1" x14ac:dyDescent="0.25">
      <c r="A2" s="9" t="s">
        <v>36</v>
      </c>
      <c r="B2" s="28" t="s">
        <v>126</v>
      </c>
      <c r="C2" s="28"/>
      <c r="D2" s="28"/>
      <c r="E2" s="28"/>
      <c r="F2" s="28"/>
      <c r="G2" s="28"/>
      <c r="H2" s="28"/>
    </row>
    <row r="3" spans="1:8" x14ac:dyDescent="0.25">
      <c r="A3" s="2" t="s">
        <v>38</v>
      </c>
      <c r="B3" s="29" t="s">
        <v>127</v>
      </c>
      <c r="C3" s="29"/>
      <c r="D3" s="29"/>
      <c r="E3" s="29"/>
      <c r="F3" s="29"/>
      <c r="G3" s="29"/>
      <c r="H3" s="29"/>
    </row>
    <row r="4" spans="1:8" x14ac:dyDescent="0.25">
      <c r="A4" s="2" t="s">
        <v>40</v>
      </c>
      <c r="B4" s="29" t="s">
        <v>128</v>
      </c>
      <c r="C4" s="29"/>
      <c r="D4" s="29"/>
      <c r="E4" s="29"/>
      <c r="F4" s="29"/>
      <c r="G4" s="29"/>
      <c r="H4" s="29"/>
    </row>
    <row r="5" spans="1:8" x14ac:dyDescent="0.25">
      <c r="A5" s="2" t="s">
        <v>42</v>
      </c>
      <c r="B5" s="32">
        <v>0.05</v>
      </c>
      <c r="C5" s="32"/>
      <c r="D5" s="32"/>
      <c r="E5" s="32"/>
      <c r="F5" s="32"/>
      <c r="G5" s="32"/>
      <c r="H5" s="32"/>
    </row>
    <row r="7" spans="1:8" x14ac:dyDescent="0.25">
      <c r="A7" s="10" t="s">
        <v>117</v>
      </c>
      <c r="B7" s="10" t="s">
        <v>118</v>
      </c>
      <c r="C7" s="10" t="s">
        <v>129</v>
      </c>
      <c r="D7" s="10" t="s">
        <v>130</v>
      </c>
      <c r="E7" s="10" t="s">
        <v>119</v>
      </c>
    </row>
    <row r="8" spans="1:8" x14ac:dyDescent="0.25">
      <c r="A8" s="11">
        <v>1</v>
      </c>
      <c r="B8" s="12">
        <v>22.2</v>
      </c>
      <c r="C8" s="12">
        <v>6.5</v>
      </c>
      <c r="D8" s="12">
        <v>94.1</v>
      </c>
      <c r="E8" s="12">
        <v>202.7</v>
      </c>
    </row>
    <row r="9" spans="1:8" x14ac:dyDescent="0.25">
      <c r="A9" s="11">
        <v>2</v>
      </c>
      <c r="B9" s="12">
        <v>24.1</v>
      </c>
      <c r="C9" s="12">
        <v>8.9</v>
      </c>
      <c r="D9" s="12">
        <v>87.1</v>
      </c>
      <c r="E9" s="12">
        <v>199.1</v>
      </c>
    </row>
    <row r="10" spans="1:8" x14ac:dyDescent="0.25">
      <c r="A10" s="11">
        <v>3</v>
      </c>
      <c r="B10" s="12">
        <v>18.100000000000001</v>
      </c>
      <c r="C10" s="12">
        <v>1.2</v>
      </c>
      <c r="D10" s="12">
        <v>78.099999999999994</v>
      </c>
      <c r="E10" s="12">
        <v>174</v>
      </c>
    </row>
    <row r="11" spans="1:8" x14ac:dyDescent="0.25">
      <c r="A11" s="11">
        <v>4</v>
      </c>
      <c r="B11" s="12">
        <v>18.8</v>
      </c>
      <c r="C11" s="12">
        <v>4.9000000000000004</v>
      </c>
      <c r="D11" s="12">
        <v>58.4</v>
      </c>
      <c r="E11" s="12">
        <v>167</v>
      </c>
    </row>
    <row r="12" spans="1:8" x14ac:dyDescent="0.25">
      <c r="A12" s="11">
        <v>5</v>
      </c>
      <c r="B12" s="12">
        <v>23.7</v>
      </c>
      <c r="C12" s="12">
        <v>19.399999999999999</v>
      </c>
      <c r="D12" s="12">
        <v>87.4</v>
      </c>
      <c r="E12" s="12">
        <v>188.1</v>
      </c>
    </row>
    <row r="13" spans="1:8" x14ac:dyDescent="0.25">
      <c r="A13" s="11">
        <v>6</v>
      </c>
      <c r="B13" s="12">
        <v>35.799999999999997</v>
      </c>
      <c r="C13" s="12">
        <v>4.5999999999999996</v>
      </c>
      <c r="D13" s="12">
        <v>79.599999999999994</v>
      </c>
      <c r="E13" s="12">
        <v>232.3</v>
      </c>
    </row>
    <row r="14" spans="1:8" x14ac:dyDescent="0.25">
      <c r="A14" s="11">
        <v>7</v>
      </c>
      <c r="B14" s="12">
        <v>27.6</v>
      </c>
      <c r="C14" s="12">
        <v>13.8</v>
      </c>
      <c r="D14" s="12">
        <v>72.8</v>
      </c>
      <c r="E14" s="12">
        <v>203.1</v>
      </c>
    </row>
    <row r="15" spans="1:8" x14ac:dyDescent="0.25">
      <c r="A15" s="11">
        <v>8</v>
      </c>
      <c r="B15" s="12">
        <v>18.5</v>
      </c>
      <c r="C15" s="12">
        <v>13</v>
      </c>
      <c r="D15" s="12">
        <v>93.1</v>
      </c>
      <c r="E15" s="12">
        <v>182.2</v>
      </c>
    </row>
    <row r="16" spans="1:8" x14ac:dyDescent="0.25">
      <c r="A16" s="11">
        <v>9</v>
      </c>
      <c r="B16" s="12">
        <v>18.3</v>
      </c>
      <c r="C16" s="12">
        <v>14.5</v>
      </c>
      <c r="D16" s="12">
        <v>70.7</v>
      </c>
      <c r="E16" s="12">
        <v>162.4</v>
      </c>
    </row>
    <row r="17" spans="1:5" x14ac:dyDescent="0.25">
      <c r="A17" s="11">
        <v>10</v>
      </c>
      <c r="B17" s="12">
        <v>23.6</v>
      </c>
      <c r="C17" s="12">
        <v>9.5</v>
      </c>
      <c r="D17" s="12">
        <v>49.3</v>
      </c>
      <c r="E17" s="12">
        <v>187.7</v>
      </c>
    </row>
    <row r="18" spans="1:5" x14ac:dyDescent="0.25">
      <c r="A18" s="11">
        <v>11</v>
      </c>
      <c r="B18" s="12">
        <v>16.2</v>
      </c>
      <c r="C18" s="12">
        <v>11.9</v>
      </c>
      <c r="D18" s="12">
        <v>64.2</v>
      </c>
      <c r="E18" s="12">
        <v>165.8</v>
      </c>
    </row>
    <row r="19" spans="1:5" x14ac:dyDescent="0.25">
      <c r="A19" s="11">
        <v>12</v>
      </c>
      <c r="B19" s="12">
        <v>16</v>
      </c>
      <c r="C19" s="12">
        <v>1.3</v>
      </c>
      <c r="D19" s="12">
        <v>35.700000000000003</v>
      </c>
      <c r="E19" s="12">
        <v>117.4</v>
      </c>
    </row>
    <row r="20" spans="1:5" x14ac:dyDescent="0.25">
      <c r="A20" s="11">
        <v>13</v>
      </c>
      <c r="B20" s="12">
        <v>25.4</v>
      </c>
      <c r="C20" s="12">
        <v>1.5</v>
      </c>
      <c r="D20" s="12">
        <v>35.4</v>
      </c>
      <c r="E20" s="12">
        <v>157.80000000000001</v>
      </c>
    </row>
    <row r="21" spans="1:5" x14ac:dyDescent="0.25">
      <c r="A21" s="11">
        <v>14</v>
      </c>
      <c r="B21" s="12">
        <v>12.6</v>
      </c>
      <c r="C21" s="12">
        <v>4</v>
      </c>
      <c r="D21" s="12">
        <v>78.099999999999994</v>
      </c>
      <c r="E21" s="12">
        <v>174.4</v>
      </c>
    </row>
    <row r="22" spans="1:5" x14ac:dyDescent="0.25">
      <c r="A22" s="11">
        <v>15</v>
      </c>
      <c r="B22" s="12">
        <v>24.5</v>
      </c>
      <c r="C22" s="12">
        <v>3</v>
      </c>
      <c r="D22" s="12">
        <v>82.8</v>
      </c>
      <c r="E22" s="12">
        <v>221.8</v>
      </c>
    </row>
    <row r="23" spans="1:5" x14ac:dyDescent="0.25">
      <c r="A23" s="11">
        <v>16</v>
      </c>
      <c r="B23" s="12">
        <v>20.9</v>
      </c>
      <c r="C23" s="12">
        <v>2</v>
      </c>
      <c r="D23" s="12">
        <v>97.8</v>
      </c>
      <c r="E23" s="12">
        <v>216.1</v>
      </c>
    </row>
    <row r="24" spans="1:5" x14ac:dyDescent="0.25">
      <c r="A24" s="11">
        <v>17</v>
      </c>
      <c r="B24" s="12">
        <v>31.2</v>
      </c>
      <c r="C24" s="12">
        <v>2.6</v>
      </c>
      <c r="D24" s="12">
        <v>88.1</v>
      </c>
      <c r="E24" s="12">
        <v>225.6</v>
      </c>
    </row>
    <row r="25" spans="1:5" x14ac:dyDescent="0.25">
      <c r="A25" s="11">
        <v>18</v>
      </c>
      <c r="B25" s="12">
        <v>32.4</v>
      </c>
      <c r="C25" s="12">
        <v>11.1</v>
      </c>
      <c r="D25" s="12">
        <v>63.5</v>
      </c>
      <c r="E25" s="12">
        <v>191.8</v>
      </c>
    </row>
    <row r="26" spans="1:5" x14ac:dyDescent="0.25">
      <c r="A26" s="11">
        <v>19</v>
      </c>
      <c r="B26" s="12">
        <v>30.7</v>
      </c>
      <c r="C26" s="12">
        <v>3.8</v>
      </c>
      <c r="D26" s="12">
        <v>27.2</v>
      </c>
      <c r="E26" s="12">
        <v>170.2</v>
      </c>
    </row>
    <row r="27" spans="1:5" x14ac:dyDescent="0.25">
      <c r="A27" s="11">
        <v>20</v>
      </c>
      <c r="B27" s="12">
        <v>30.7</v>
      </c>
      <c r="C27" s="12">
        <v>19</v>
      </c>
      <c r="D27" s="12">
        <v>59.1</v>
      </c>
      <c r="E27" s="12">
        <v>187.6</v>
      </c>
    </row>
    <row r="28" spans="1:5" x14ac:dyDescent="0.25">
      <c r="A28" s="11">
        <v>21</v>
      </c>
      <c r="B28" s="12">
        <v>21.2</v>
      </c>
      <c r="C28" s="12">
        <v>13.6</v>
      </c>
      <c r="D28" s="12">
        <v>94.2</v>
      </c>
      <c r="E28" s="12">
        <v>194.5</v>
      </c>
    </row>
    <row r="29" spans="1:5" x14ac:dyDescent="0.25">
      <c r="A29" s="11">
        <v>22</v>
      </c>
      <c r="B29" s="12">
        <v>30</v>
      </c>
      <c r="C29" s="12">
        <v>10.8</v>
      </c>
      <c r="D29" s="12">
        <v>83</v>
      </c>
      <c r="E29" s="12">
        <v>213.3</v>
      </c>
    </row>
    <row r="30" spans="1:5" x14ac:dyDescent="0.25">
      <c r="A30" s="11">
        <v>23</v>
      </c>
      <c r="B30" s="12">
        <v>20.2</v>
      </c>
      <c r="C30" s="12">
        <v>14.1</v>
      </c>
      <c r="D30" s="12">
        <v>58.8</v>
      </c>
      <c r="E30" s="12">
        <v>153.6</v>
      </c>
    </row>
    <row r="31" spans="1:5" x14ac:dyDescent="0.25">
      <c r="A31" s="11">
        <v>24</v>
      </c>
      <c r="B31" s="12">
        <v>27.2</v>
      </c>
      <c r="C31" s="12">
        <v>5.3</v>
      </c>
      <c r="D31" s="12">
        <v>56.4</v>
      </c>
      <c r="E31" s="12">
        <v>192.1</v>
      </c>
    </row>
    <row r="33" spans="1:8" ht="15" customHeight="1" x14ac:dyDescent="0.25">
      <c r="A33" s="26" t="s">
        <v>131</v>
      </c>
      <c r="B33" s="26"/>
      <c r="C33" s="26"/>
      <c r="D33" s="26"/>
      <c r="E33" s="26"/>
      <c r="F33" s="26"/>
      <c r="G33" s="26"/>
      <c r="H33" s="26"/>
    </row>
    <row r="34" spans="1:8" x14ac:dyDescent="0.25">
      <c r="A34" s="26"/>
      <c r="B34" s="26"/>
      <c r="C34" s="26"/>
      <c r="D34" s="26"/>
      <c r="E34" s="26"/>
      <c r="F34" s="26"/>
      <c r="G34" s="26"/>
      <c r="H34" s="26"/>
    </row>
    <row r="35" spans="1:8" x14ac:dyDescent="0.25">
      <c r="A35" s="26"/>
      <c r="B35" s="26"/>
      <c r="C35" s="26"/>
      <c r="D35" s="26"/>
      <c r="E35" s="26"/>
      <c r="F35" s="26"/>
      <c r="G35" s="26"/>
      <c r="H35" s="26"/>
    </row>
    <row r="36" spans="1:8" x14ac:dyDescent="0.25">
      <c r="A36" s="26"/>
      <c r="B36" s="26"/>
      <c r="C36" s="26"/>
      <c r="D36" s="26"/>
      <c r="E36" s="26"/>
      <c r="F36" s="26"/>
      <c r="G36" s="26"/>
      <c r="H36" s="26"/>
    </row>
    <row r="37" spans="1:8" x14ac:dyDescent="0.25">
      <c r="A37" s="26"/>
      <c r="B37" s="26"/>
      <c r="C37" s="26"/>
      <c r="D37" s="26"/>
      <c r="E37" s="26"/>
      <c r="F37" s="26"/>
      <c r="G37" s="26"/>
      <c r="H37" s="26"/>
    </row>
    <row r="38" spans="1:8" x14ac:dyDescent="0.25">
      <c r="A38" s="26"/>
      <c r="B38" s="26"/>
      <c r="C38" s="26"/>
      <c r="D38" s="26"/>
      <c r="E38" s="26"/>
      <c r="F38" s="26"/>
      <c r="G38" s="26"/>
      <c r="H38" s="26"/>
    </row>
    <row r="39" spans="1:8" x14ac:dyDescent="0.25">
      <c r="A39" s="26"/>
      <c r="B39" s="26"/>
      <c r="C39" s="26"/>
      <c r="D39" s="26"/>
      <c r="E39" s="26"/>
      <c r="F39" s="26"/>
      <c r="G39" s="26"/>
      <c r="H39" s="26"/>
    </row>
    <row r="40" spans="1:8" x14ac:dyDescent="0.25">
      <c r="A40" s="26"/>
      <c r="B40" s="26"/>
      <c r="C40" s="26"/>
      <c r="D40" s="26"/>
      <c r="E40" s="26"/>
      <c r="F40" s="26"/>
      <c r="G40" s="26"/>
      <c r="H40" s="26"/>
    </row>
    <row r="41" spans="1:8" x14ac:dyDescent="0.25">
      <c r="A41" s="26"/>
      <c r="B41" s="26"/>
      <c r="C41" s="26"/>
      <c r="D41" s="26"/>
      <c r="E41" s="26"/>
      <c r="F41" s="26"/>
      <c r="G41" s="26"/>
      <c r="H41" s="26"/>
    </row>
    <row r="42" spans="1:8" x14ac:dyDescent="0.25">
      <c r="A42" s="26"/>
      <c r="B42" s="26"/>
      <c r="C42" s="26"/>
      <c r="D42" s="26"/>
      <c r="E42" s="26"/>
      <c r="F42" s="26"/>
      <c r="G42" s="26"/>
      <c r="H42" s="26"/>
    </row>
    <row r="43" spans="1:8" x14ac:dyDescent="0.25">
      <c r="A43" s="26"/>
      <c r="B43" s="26"/>
      <c r="C43" s="26"/>
      <c r="D43" s="26"/>
      <c r="E43" s="26"/>
      <c r="F43" s="26"/>
      <c r="G43" s="26"/>
      <c r="H43" s="26"/>
    </row>
    <row r="44" spans="1:8" x14ac:dyDescent="0.25">
      <c r="A44" s="26"/>
      <c r="B44" s="26"/>
      <c r="C44" s="26"/>
      <c r="D44" s="26"/>
      <c r="E44" s="26"/>
      <c r="F44" s="26"/>
      <c r="G44" s="26"/>
      <c r="H44" s="26"/>
    </row>
    <row r="45" spans="1:8" x14ac:dyDescent="0.25">
      <c r="A45" s="26"/>
      <c r="B45" s="26"/>
      <c r="C45" s="26"/>
      <c r="D45" s="26"/>
      <c r="E45" s="26"/>
      <c r="F45" s="26"/>
      <c r="G45" s="26"/>
      <c r="H45" s="26"/>
    </row>
    <row r="46" spans="1:8" x14ac:dyDescent="0.25">
      <c r="A46" s="26"/>
      <c r="B46" s="26"/>
      <c r="C46" s="26"/>
      <c r="D46" s="26"/>
      <c r="E46" s="26"/>
      <c r="F46" s="26"/>
      <c r="G46" s="26"/>
      <c r="H46" s="26"/>
    </row>
  </sheetData>
  <mergeCells count="5">
    <mergeCell ref="B2:H2"/>
    <mergeCell ref="B3:H3"/>
    <mergeCell ref="B4:H4"/>
    <mergeCell ref="B5:H5"/>
    <mergeCell ref="A33:H4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8"/>
  <sheetViews>
    <sheetView tabSelected="1" topLeftCell="A28" zoomScaleNormal="100" workbookViewId="0"/>
  </sheetViews>
  <sheetFormatPr defaultColWidth="8.7109375" defaultRowHeight="15" x14ac:dyDescent="0.25"/>
  <cols>
    <col min="1" max="3" width="16" customWidth="1"/>
    <col min="4" max="4" width="4" customWidth="1"/>
    <col min="5" max="5" width="26" customWidth="1"/>
    <col min="6" max="6" width="14" customWidth="1"/>
  </cols>
  <sheetData>
    <row r="1" spans="1:6" ht="19.5" x14ac:dyDescent="0.3">
      <c r="A1" s="8" t="s">
        <v>132</v>
      </c>
    </row>
    <row r="2" spans="1:6" ht="45" customHeight="1" x14ac:dyDescent="0.25">
      <c r="A2" s="9" t="s">
        <v>36</v>
      </c>
      <c r="B2" s="28" t="s">
        <v>133</v>
      </c>
      <c r="C2" s="28"/>
      <c r="D2" s="28"/>
      <c r="E2" s="28"/>
      <c r="F2" s="28"/>
    </row>
    <row r="3" spans="1:6" x14ac:dyDescent="0.25">
      <c r="A3" s="2" t="s">
        <v>38</v>
      </c>
      <c r="B3" s="29" t="s">
        <v>134</v>
      </c>
      <c r="C3" s="29"/>
      <c r="D3" s="29"/>
      <c r="E3" s="29"/>
      <c r="F3" s="29"/>
    </row>
    <row r="4" spans="1:6" x14ac:dyDescent="0.25">
      <c r="A4" s="2" t="s">
        <v>40</v>
      </c>
      <c r="B4" s="29" t="s">
        <v>135</v>
      </c>
      <c r="C4" s="29"/>
      <c r="D4" s="29"/>
      <c r="E4" s="29"/>
      <c r="F4" s="29"/>
    </row>
    <row r="5" spans="1:6" x14ac:dyDescent="0.25">
      <c r="A5" s="2" t="s">
        <v>42</v>
      </c>
      <c r="B5" s="32">
        <v>0.05</v>
      </c>
      <c r="C5" s="32"/>
      <c r="D5" s="32"/>
      <c r="E5" s="32"/>
      <c r="F5" s="32"/>
    </row>
    <row r="7" spans="1:6" x14ac:dyDescent="0.25">
      <c r="A7" s="10" t="s">
        <v>136</v>
      </c>
      <c r="B7" s="10" t="s">
        <v>137</v>
      </c>
      <c r="C7" s="10" t="s">
        <v>138</v>
      </c>
    </row>
    <row r="8" spans="1:6" x14ac:dyDescent="0.25">
      <c r="A8" s="11">
        <v>1</v>
      </c>
      <c r="B8" s="12">
        <v>4.5999999999999996</v>
      </c>
      <c r="C8" s="12">
        <v>3.8</v>
      </c>
    </row>
    <row r="9" spans="1:6" x14ac:dyDescent="0.25">
      <c r="A9" s="11">
        <v>2</v>
      </c>
      <c r="B9" s="12">
        <v>5.3</v>
      </c>
      <c r="C9" s="12">
        <v>4.8</v>
      </c>
    </row>
    <row r="10" spans="1:6" x14ac:dyDescent="0.25">
      <c r="A10" s="11">
        <v>3</v>
      </c>
      <c r="B10" s="12">
        <v>5.5</v>
      </c>
      <c r="C10" s="12">
        <v>8.5</v>
      </c>
    </row>
    <row r="11" spans="1:6" x14ac:dyDescent="0.25">
      <c r="A11" s="11">
        <v>4</v>
      </c>
      <c r="B11" s="12">
        <v>5.3</v>
      </c>
      <c r="C11" s="12">
        <v>6.6</v>
      </c>
    </row>
    <row r="12" spans="1:6" x14ac:dyDescent="0.25">
      <c r="A12" s="11">
        <v>5</v>
      </c>
      <c r="B12" s="12">
        <v>4.5</v>
      </c>
      <c r="C12" s="12">
        <v>4.2</v>
      </c>
    </row>
    <row r="13" spans="1:6" x14ac:dyDescent="0.25">
      <c r="A13" s="11">
        <v>6</v>
      </c>
      <c r="B13" s="12">
        <v>5.8</v>
      </c>
      <c r="C13" s="12">
        <v>6.1</v>
      </c>
    </row>
    <row r="14" spans="1:6" x14ac:dyDescent="0.25">
      <c r="A14" s="11">
        <v>7</v>
      </c>
      <c r="B14" s="12">
        <v>4.5999999999999996</v>
      </c>
      <c r="C14" s="12">
        <v>4.2</v>
      </c>
    </row>
    <row r="15" spans="1:6" x14ac:dyDescent="0.25">
      <c r="A15" s="11">
        <v>8</v>
      </c>
      <c r="B15" s="12">
        <v>5.3</v>
      </c>
      <c r="C15" s="12">
        <v>4.3</v>
      </c>
    </row>
    <row r="16" spans="1:6" x14ac:dyDescent="0.25">
      <c r="A16" s="11">
        <v>9</v>
      </c>
      <c r="B16" s="12">
        <v>4.5</v>
      </c>
      <c r="C16" s="12">
        <v>6.6</v>
      </c>
    </row>
    <row r="17" spans="1:6" x14ac:dyDescent="0.25">
      <c r="A17" s="11">
        <v>10</v>
      </c>
      <c r="B17" s="12">
        <v>4</v>
      </c>
      <c r="C17" s="12">
        <v>4.2</v>
      </c>
    </row>
    <row r="18" spans="1:6" x14ac:dyDescent="0.25">
      <c r="A18" s="11">
        <v>11</v>
      </c>
      <c r="B18" s="12">
        <v>5.0999999999999996</v>
      </c>
      <c r="C18" s="12">
        <v>2.1</v>
      </c>
    </row>
    <row r="19" spans="1:6" x14ac:dyDescent="0.25">
      <c r="A19" s="11">
        <v>12</v>
      </c>
      <c r="B19" s="12">
        <v>5.2</v>
      </c>
      <c r="C19" s="12">
        <v>3.5</v>
      </c>
    </row>
    <row r="20" spans="1:6" x14ac:dyDescent="0.25">
      <c r="A20" s="11">
        <v>13</v>
      </c>
      <c r="B20" s="12">
        <v>5</v>
      </c>
      <c r="C20" s="12">
        <v>5.3</v>
      </c>
    </row>
    <row r="21" spans="1:6" x14ac:dyDescent="0.25">
      <c r="A21" s="11">
        <v>14</v>
      </c>
      <c r="B21" s="12">
        <v>5.2</v>
      </c>
      <c r="C21" s="12">
        <v>5.3</v>
      </c>
    </row>
    <row r="22" spans="1:6" x14ac:dyDescent="0.25">
      <c r="A22" s="11">
        <v>15</v>
      </c>
      <c r="B22" s="12">
        <v>4.5999999999999996</v>
      </c>
      <c r="C22" s="12">
        <v>7.3</v>
      </c>
    </row>
    <row r="24" spans="1:6" x14ac:dyDescent="0.25">
      <c r="A24" s="31" t="s">
        <v>46</v>
      </c>
      <c r="B24" s="31"/>
      <c r="C24" s="31"/>
    </row>
    <row r="25" spans="1:6" x14ac:dyDescent="0.25">
      <c r="A25" s="2" t="s">
        <v>139</v>
      </c>
      <c r="B25" s="18">
        <f>AVERAGE(B8:B22)</f>
        <v>4.9666666666666668</v>
      </c>
    </row>
    <row r="26" spans="1:6" x14ac:dyDescent="0.25">
      <c r="A26" s="2" t="s">
        <v>140</v>
      </c>
      <c r="B26" s="18">
        <f>AVERAGE(C8:C22)</f>
        <v>5.12</v>
      </c>
    </row>
    <row r="27" spans="1:6" x14ac:dyDescent="0.25">
      <c r="A27" s="2" t="s">
        <v>141</v>
      </c>
      <c r="B27" s="18">
        <f>_xlfn.VAR.S(B8:B22)</f>
        <v>0.22952380952380955</v>
      </c>
    </row>
    <row r="28" spans="1:6" x14ac:dyDescent="0.25">
      <c r="A28" s="2" t="s">
        <v>142</v>
      </c>
      <c r="B28" s="18">
        <f>_xlfn.VAR.S(C8:C22)</f>
        <v>2.7417142857142829</v>
      </c>
    </row>
    <row r="29" spans="1:6" x14ac:dyDescent="0.25">
      <c r="A29" s="14" t="s">
        <v>143</v>
      </c>
      <c r="B29" s="23">
        <f>_xlfn.F.TEST(B8:B22,C8:C22)</f>
        <v>3.706518779040318E-5</v>
      </c>
    </row>
    <row r="31" spans="1:6" ht="30" customHeight="1" x14ac:dyDescent="0.25">
      <c r="A31" s="14" t="s">
        <v>52</v>
      </c>
      <c r="B31" s="25" t="str">
        <f>IF(B29&lt;0.05,"p &lt; 0.05 -&gt; REJECT H0: the two suppliers have significantly different variability.","p &gt;= 0.05 -&gt; FAIL TO REJECT H0: no significant difference in consistency between suppliers.")</f>
        <v>p &lt; 0.05 -&gt; REJECT H0: the two suppliers have significantly different variability.</v>
      </c>
      <c r="C31" s="25"/>
      <c r="D31" s="25"/>
      <c r="E31" s="25"/>
      <c r="F31" s="25"/>
    </row>
    <row r="33" spans="1:7" ht="15" customHeight="1" x14ac:dyDescent="0.25">
      <c r="A33" s="26" t="s">
        <v>144</v>
      </c>
      <c r="B33" s="26"/>
      <c r="C33" s="26"/>
      <c r="D33" s="26"/>
      <c r="E33" s="26"/>
      <c r="F33" s="26"/>
      <c r="G33" s="26"/>
    </row>
    <row r="34" spans="1:7" x14ac:dyDescent="0.25">
      <c r="A34" s="26"/>
      <c r="B34" s="26"/>
      <c r="C34" s="26"/>
      <c r="D34" s="26"/>
      <c r="E34" s="26"/>
      <c r="F34" s="26"/>
      <c r="G34" s="26"/>
    </row>
    <row r="35" spans="1:7" x14ac:dyDescent="0.25">
      <c r="A35" s="26"/>
      <c r="B35" s="26"/>
      <c r="C35" s="26"/>
      <c r="D35" s="26"/>
      <c r="E35" s="26"/>
      <c r="F35" s="26"/>
      <c r="G35" s="26"/>
    </row>
    <row r="36" spans="1:7" x14ac:dyDescent="0.25">
      <c r="A36" s="26"/>
      <c r="B36" s="26"/>
      <c r="C36" s="26"/>
      <c r="D36" s="26"/>
      <c r="E36" s="26"/>
      <c r="F36" s="26"/>
      <c r="G36" s="26"/>
    </row>
    <row r="37" spans="1:7" x14ac:dyDescent="0.25">
      <c r="A37" s="26"/>
      <c r="B37" s="26"/>
      <c r="C37" s="26"/>
      <c r="D37" s="26"/>
      <c r="E37" s="26"/>
      <c r="F37" s="26"/>
      <c r="G37" s="26"/>
    </row>
    <row r="38" spans="1:7" x14ac:dyDescent="0.25">
      <c r="A38" s="26"/>
      <c r="B38" s="26"/>
      <c r="C38" s="26"/>
      <c r="D38" s="26"/>
      <c r="E38" s="26"/>
      <c r="F38" s="26"/>
      <c r="G38" s="26"/>
    </row>
  </sheetData>
  <mergeCells count="7">
    <mergeCell ref="B31:F31"/>
    <mergeCell ref="A33:G38"/>
    <mergeCell ref="B2:F2"/>
    <mergeCell ref="B3:F3"/>
    <mergeCell ref="B4:F4"/>
    <mergeCell ref="B5:F5"/>
    <mergeCell ref="A24:C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1. T-Test (2-sample)</vt:lpstr>
      <vt:lpstr>2. T-Test (paired)</vt:lpstr>
      <vt:lpstr>3. ANOVA</vt:lpstr>
      <vt:lpstr>4. Chi-Square</vt:lpstr>
      <vt:lpstr>5. Correlation</vt:lpstr>
      <vt:lpstr>6. Regression</vt:lpstr>
      <vt:lpstr>7. F-Test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ARAVIND S</cp:lastModifiedBy>
  <cp:revision>0</cp:revision>
  <dcterms:created xsi:type="dcterms:W3CDTF">2026-07-06T05:17:07Z</dcterms:created>
  <dcterms:modified xsi:type="dcterms:W3CDTF">2026-07-17T04:35:23Z</dcterms:modified>
  <dc:language>en-US</dc:language>
</cp:coreProperties>
</file>