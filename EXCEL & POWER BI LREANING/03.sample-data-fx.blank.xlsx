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avi\OneDrive\Documents\"/>
    </mc:Choice>
  </mc:AlternateContent>
  <xr:revisionPtr revIDLastSave="1" documentId="13_ncr:1_{2F91E6CD-71AB-448D-90C3-DA8A53DB92F3}" xr6:coauthVersionLast="36" xr6:coauthVersionMax="47" xr10:uidLastSave="{F9335B27-66D5-4F26-9B8D-55F33B7B231C}"/>
  <bookViews>
    <workbookView xWindow="-120" yWindow="-120" windowWidth="29040" windowHeight="15840" activeTab="2" xr2:uid="{26D4546B-D2A1-4444-8EAF-A6228F96F0C1}"/>
  </bookViews>
  <sheets>
    <sheet name="Concepts" sheetId="2" r:id="rId1"/>
    <sheet name="Data" sheetId="1" r:id="rId2"/>
    <sheet name="Sheet2" sheetId="4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4" l="1"/>
  <c r="I7" i="4" s="1"/>
  <c r="H12" i="4" s="1"/>
  <c r="D3" i="4"/>
  <c r="D4" i="4"/>
  <c r="D5" i="4"/>
  <c r="D6" i="4"/>
  <c r="D7" i="4"/>
  <c r="D8" i="4"/>
  <c r="D9" i="4"/>
  <c r="D10" i="4"/>
  <c r="D11" i="4"/>
  <c r="D12" i="4"/>
  <c r="D13" i="4"/>
  <c r="D2" i="4"/>
  <c r="C3" i="4"/>
  <c r="C4" i="4"/>
  <c r="C5" i="4"/>
  <c r="C6" i="4"/>
  <c r="C7" i="4"/>
  <c r="C8" i="4"/>
  <c r="C9" i="4"/>
  <c r="C10" i="4"/>
  <c r="C11" i="4"/>
  <c r="C12" i="4"/>
  <c r="C13" i="4"/>
  <c r="C2" i="4"/>
  <c r="B3" i="4"/>
  <c r="B4" i="4"/>
  <c r="B5" i="4"/>
  <c r="B6" i="4"/>
  <c r="B7" i="4"/>
  <c r="B8" i="4"/>
  <c r="B9" i="4"/>
  <c r="B10" i="4"/>
  <c r="B11" i="4"/>
  <c r="B12" i="4"/>
  <c r="B13" i="4"/>
  <c r="B2" i="4"/>
  <c r="J10" i="4"/>
</calcChain>
</file>

<file path=xl/sharedStrings.xml><?xml version="1.0" encoding="utf-8"?>
<sst xmlns="http://schemas.openxmlformats.org/spreadsheetml/2006/main" count="2403" uniqueCount="773">
  <si>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</si>
  <si>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</si>
  <si>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</si>
  <si>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</si>
  <si>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</si>
  <si>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</si>
  <si>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</si>
  <si>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</si>
  <si>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</si>
  <si>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</si>
  <si>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</si>
  <si>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</si>
  <si>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</si>
  <si>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</si>
  <si>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</si>
  <si>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</si>
  <si>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</si>
  <si>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</si>
  <si>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</si>
  <si>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</si>
  <si>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</si>
  <si>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</si>
  <si>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</si>
  <si>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</si>
  <si>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</si>
  <si>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</si>
  <si>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</si>
  <si>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</si>
  <si>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</si>
  <si>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</si>
  <si>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</si>
  <si>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</si>
  <si>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</si>
  <si>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</si>
  <si>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</si>
  <si>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</si>
  <si>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</si>
  <si>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</si>
  <si>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</si>
  <si>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</si>
  <si>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</si>
  <si>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</si>
  <si>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</si>
  <si>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</si>
  <si>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</si>
  <si>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</si>
  <si>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</si>
  <si>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</si>
  <si>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</si>
  <si>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</si>
  <si>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</si>
  <si>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</si>
  <si>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</si>
  <si>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</si>
  <si>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</si>
  <si>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</si>
  <si>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</si>
  <si>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</si>
  <si>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</si>
  <si>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</si>
  <si>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</si>
  <si>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</si>
  <si>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</si>
  <si>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</si>
  <si>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</si>
  <si>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</si>
  <si>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</si>
  <si>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</si>
  <si>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</si>
  <si>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</si>
  <si>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</si>
  <si>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</si>
  <si>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</si>
  <si>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</si>
  <si>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</si>
  <si>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</si>
  <si>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</si>
  <si>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</si>
  <si>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</si>
  <si>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</si>
  <si>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</si>
  <si>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</si>
  <si>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</si>
  <si>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</si>
  <si>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</si>
  <si>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</si>
  <si>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</si>
  <si>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</si>
  <si>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</si>
  <si>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</si>
  <si>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</si>
  <si>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</si>
  <si>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</si>
  <si>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</si>
  <si>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</si>
  <si>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</si>
  <si>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</si>
  <si>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</si>
  <si>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</si>
  <si>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</si>
  <si>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</si>
  <si>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</si>
  <si>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</si>
  <si>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</si>
  <si>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</si>
  <si>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</si>
  <si>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</si>
  <si>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</si>
  <si>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</si>
  <si>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</si>
  <si>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</si>
  <si>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</si>
  <si>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</si>
  <si>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</si>
  <si>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</si>
  <si>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</si>
  <si>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</si>
  <si>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</si>
  <si>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</si>
  <si>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</si>
  <si>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</si>
  <si>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</si>
  <si>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</si>
  <si>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</si>
  <si>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</si>
  <si>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</si>
  <si>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</si>
  <si>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</si>
  <si>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</si>
  <si>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</si>
  <si>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</si>
  <si>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</si>
  <si>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</si>
  <si>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</si>
  <si>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</si>
  <si>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</si>
  <si>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</si>
  <si>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</si>
  <si>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</si>
  <si>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</si>
  <si>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</si>
  <si>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</si>
  <si>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</si>
  <si>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</si>
  <si>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</si>
  <si>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</si>
  <si>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</si>
  <si>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</si>
  <si>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</si>
  <si>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</si>
  <si>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</si>
  <si>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</si>
  <si>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</si>
  <si>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</si>
  <si>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</si>
  <si>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</si>
  <si>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</si>
  <si>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</si>
  <si>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</si>
  <si>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</si>
  <si>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</si>
  <si>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</si>
  <si>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</si>
  <si>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</si>
  <si>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</si>
  <si>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</si>
  <si>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</si>
  <si>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</si>
  <si>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</si>
  <si>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</si>
  <si>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</si>
  <si>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</si>
  <si>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</si>
  <si>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</si>
  <si>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</si>
  <si>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</si>
  <si>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</si>
  <si>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</si>
  <si>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</si>
  <si>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</si>
  <si>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</si>
  <si>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</si>
  <si>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</si>
  <si>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</si>
  <si>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</si>
  <si>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</si>
  <si>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</si>
  <si>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</si>
  <si>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</si>
  <si>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</si>
  <si>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</si>
  <si>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</si>
  <si>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</si>
  <si>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</si>
  <si>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</si>
  <si>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</si>
  <si>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</si>
  <si>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</si>
  <si>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</si>
  <si>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</si>
  <si>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</si>
  <si>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</si>
  <si>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</si>
  <si>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</si>
  <si>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</si>
  <si>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</si>
  <si>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</si>
  <si>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</si>
  <si>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</si>
  <si>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</si>
  <si>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</si>
  <si>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</si>
  <si>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</si>
  <si>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</si>
  <si>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</si>
  <si>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</si>
  <si>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</si>
  <si>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</si>
  <si>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</si>
  <si>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</si>
  <si>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</si>
  <si>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</si>
  <si>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</si>
  <si>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</si>
  <si>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</si>
  <si>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</si>
  <si>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</si>
  <si>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</si>
  <si>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</si>
  <si>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</si>
  <si>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</si>
  <si>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</si>
  <si>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</si>
  <si>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</si>
  <si>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</si>
  <si>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</si>
  <si>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</si>
  <si>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</si>
  <si>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</si>
  <si>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</si>
  <si>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</si>
  <si>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</si>
  <si>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</si>
  <si>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</si>
  <si>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</si>
  <si>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</si>
  <si>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</si>
  <si>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</si>
  <si>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</si>
  <si>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</si>
  <si>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</si>
  <si>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</si>
  <si>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</si>
  <si>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</si>
  <si>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</si>
  <si>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</si>
  <si>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</si>
  <si>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</si>
  <si>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</si>
  <si>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</si>
  <si>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</si>
  <si>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</si>
  <si>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</si>
  <si>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</si>
  <si>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</si>
  <si>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</si>
  <si>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</si>
  <si>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</si>
  <si>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</si>
  <si>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</si>
  <si>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</si>
  <si>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</si>
  <si>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</si>
  <si>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</si>
  <si>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</si>
  <si>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</si>
  <si>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</si>
  <si>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</si>
  <si>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</si>
  <si>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</si>
  <si>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</si>
  <si>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</si>
  <si>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</si>
  <si>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</si>
  <si>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</si>
  <si>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</si>
  <si>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</si>
  <si>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</si>
  <si>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</si>
  <si>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</si>
  <si>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</si>
  <si>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</si>
  <si>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</si>
  <si>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</si>
  <si>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</si>
  <si>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</si>
  <si>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</si>
  <si>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</si>
  <si>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</si>
  <si>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</si>
  <si>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</si>
  <si>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</si>
  <si>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</si>
  <si>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</si>
  <si>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</si>
  <si>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</si>
  <si>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</si>
  <si>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</si>
  <si>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</si>
  <si>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</si>
  <si>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</si>
  <si>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</si>
  <si>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</si>
  <si>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</si>
  <si>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</si>
  <si>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</si>
  <si>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</si>
  <si>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</si>
  <si>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</si>
  <si>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</si>
  <si>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</si>
  <si>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</si>
  <si>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</si>
  <si>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</si>
  <si>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</si>
  <si>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</si>
  <si>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</si>
  <si>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</si>
  <si>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</si>
  <si>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</si>
  <si>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</si>
  <si>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</si>
  <si>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</si>
  <si>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</si>
  <si>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</si>
  <si>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</si>
  <si>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</si>
  <si>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</si>
  <si>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</si>
  <si>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</si>
  <si>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</si>
  <si>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</si>
  <si>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</si>
  <si>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</si>
  <si>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</si>
  <si>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</si>
  <si>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</si>
  <si>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</si>
  <si>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</si>
  <si>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</si>
  <si>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</si>
  <si>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</si>
  <si>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</si>
  <si>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</si>
  <si>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</si>
  <si>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</si>
  <si>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</si>
  <si>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</si>
  <si>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</si>
  <si>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</si>
  <si>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</si>
  <si>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</si>
  <si>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</si>
  <si>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</si>
  <si>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</si>
  <si>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</si>
  <si>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</si>
  <si>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</si>
  <si>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</si>
  <si>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</si>
  <si>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</si>
  <si>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</si>
  <si>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</si>
  <si>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</si>
  <si>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</si>
  <si>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</si>
  <si>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</si>
  <si>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</si>
  <si>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</si>
  <si>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</si>
  <si>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</si>
  <si>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</si>
  <si>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</si>
  <si>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</si>
  <si>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</si>
  <si>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</si>
  <si>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</si>
  <si>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</si>
  <si>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</si>
  <si>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</si>
  <si>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</si>
  <si>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</si>
  <si>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</si>
  <si>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</si>
  <si>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</si>
  <si>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</si>
  <si>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</si>
  <si>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</si>
  <si>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</si>
  <si>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</si>
  <si>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</si>
  <si>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</si>
  <si>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</si>
  <si>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</si>
  <si>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</si>
  <si>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</si>
  <si>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</si>
  <si>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</si>
  <si>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</si>
  <si>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</si>
  <si>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</si>
  <si>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</si>
  <si>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</si>
  <si>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</si>
  <si>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</si>
  <si>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</si>
  <si>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</si>
  <si>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</si>
  <si>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</si>
  <si>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</si>
  <si>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</si>
  <si>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</si>
  <si>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</si>
  <si>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</si>
  <si>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</si>
  <si>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</si>
  <si>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</si>
  <si>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</si>
  <si>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</si>
  <si>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</si>
  <si>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</si>
  <si>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</si>
  <si>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</si>
  <si>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</si>
  <si>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</si>
  <si>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</si>
  <si>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</si>
  <si>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</si>
  <si>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</si>
  <si>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</si>
  <si>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</si>
  <si>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</si>
  <si>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</si>
  <si>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</si>
  <si>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</si>
  <si>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</si>
  <si>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</si>
  <si>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</si>
  <si>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</si>
  <si>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</si>
  <si>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</si>
  <si>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</si>
  <si>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</si>
  <si>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</si>
  <si>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</si>
  <si>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</si>
  <si>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</si>
  <si>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</si>
  <si>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</si>
  <si>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</si>
  <si>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</si>
  <si>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</si>
  <si>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</si>
  <si>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</si>
  <si>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</si>
  <si>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</si>
  <si>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</si>
  <si>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</si>
  <si>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</si>
  <si>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</si>
  <si>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</si>
  <si>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</si>
  <si>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</si>
  <si>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</si>
  <si>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</si>
  <si>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</si>
  <si>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</si>
  <si>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</si>
  <si>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</si>
  <si>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</si>
  <si>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</si>
  <si>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</si>
  <si>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</si>
  <si>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</si>
  <si>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</si>
  <si>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</si>
  <si>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</si>
  <si>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</si>
  <si>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</si>
  <si>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</si>
  <si>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</si>
  <si>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</si>
  <si>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</si>
  <si>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</si>
  <si>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</si>
  <si>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</si>
  <si>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</si>
  <si>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</si>
  <si>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</si>
  <si>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</si>
  <si>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</si>
  <si>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</si>
  <si>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</si>
  <si>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</si>
  <si>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</si>
  <si>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</si>
  <si>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</si>
  <si>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</si>
  <si>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</si>
  <si>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</si>
  <si>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</si>
  <si>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</si>
  <si>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</si>
  <si>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</si>
  <si>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</si>
  <si>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</si>
  <si>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</si>
  <si>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</si>
  <si>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</si>
  <si>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</si>
  <si>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</si>
  <si>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</si>
  <si>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</si>
  <si>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</si>
  <si>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</si>
  <si>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</si>
  <si>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</si>
  <si>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</si>
  <si>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</si>
  <si>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</si>
  <si>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</si>
  <si>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</si>
  <si>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</si>
  <si>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</si>
  <si>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</si>
  <si>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</si>
  <si>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</si>
  <si>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</si>
  <si>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</si>
  <si>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</si>
  <si>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</si>
  <si>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</si>
  <si>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</si>
  <si>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</si>
  <si>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</si>
  <si>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</si>
  <si>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</si>
  <si>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</si>
  <si>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</si>
  <si>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</si>
  <si>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</si>
  <si>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</si>
  <si>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</si>
  <si>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</si>
  <si>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</si>
  <si>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</si>
  <si>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</si>
  <si>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</si>
  <si>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</si>
  <si>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</si>
  <si>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</si>
  <si>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</si>
  <si>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</si>
  <si>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</si>
  <si>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</si>
  <si>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</si>
  <si>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</si>
  <si>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</si>
  <si>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</si>
  <si>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</si>
  <si>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</si>
  <si>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</si>
  <si>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</si>
  <si>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</si>
  <si>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</si>
  <si>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</si>
  <si>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</si>
  <si>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</si>
  <si>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</si>
  <si>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</si>
  <si>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</si>
  <si>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</si>
  <si>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</si>
  <si>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</si>
  <si>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</si>
  <si>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</si>
  <si>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</si>
  <si>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</si>
  <si>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</si>
  <si>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</si>
  <si>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</si>
  <si>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</si>
  <si>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</si>
  <si>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</si>
  <si>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</si>
  <si>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</si>
  <si>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</si>
  <si>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</si>
  <si>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</si>
  <si>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</si>
  <si>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</si>
  <si>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</si>
  <si>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</si>
  <si>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</si>
  <si>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</si>
  <si>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</si>
  <si>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</si>
  <si>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</si>
  <si>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</si>
  <si>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</si>
  <si>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</si>
  <si>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</si>
  <si>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</si>
  <si>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</si>
  <si>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</si>
  <si>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</si>
  <si>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</si>
  <si>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</si>
  <si>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</si>
  <si>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</si>
  <si>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</si>
  <si>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</si>
  <si>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</si>
  <si>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</si>
  <si>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</si>
  <si>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</si>
  <si>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</si>
  <si>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</si>
  <si>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</si>
  <si>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</si>
  <si>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</si>
  <si>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</si>
  <si>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</si>
  <si>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</si>
  <si>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</si>
  <si>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</si>
  <si>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</si>
  <si>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</si>
  <si>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</si>
  <si>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</si>
  <si>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</si>
  <si>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</si>
  <si>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</si>
  <si>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</si>
  <si>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</si>
  <si>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</si>
  <si>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</si>
  <si>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</si>
  <si>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</si>
  <si>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</si>
  <si>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</si>
  <si>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</si>
  <si>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</si>
  <si>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</si>
  <si>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</si>
  <si>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</si>
  <si>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</si>
  <si>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</si>
  <si>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</si>
  <si>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</si>
  <si>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</si>
  <si>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</si>
  <si>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</si>
  <si>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</si>
  <si>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</si>
  <si>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</si>
  <si>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</si>
  <si>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</si>
  <si>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</si>
  <si>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</si>
  <si>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</si>
  <si>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</si>
  <si>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</si>
  <si>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</si>
  <si>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</si>
  <si>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</si>
  <si>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</si>
  <si>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</si>
  <si>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</si>
  <si>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</si>
  <si>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</si>
  <si>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</si>
  <si>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</si>
  <si>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</si>
  <si>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</si>
  <si>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</si>
  <si>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</si>
  <si>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</si>
  <si>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</si>
  <si>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</si>
  <si>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</si>
  <si>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</si>
  <si>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</si>
  <si>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</si>
  <si>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</si>
  <si>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</si>
  <si>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</si>
  <si>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</si>
  <si>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</si>
  <si>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</si>
  <si>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</si>
  <si>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</si>
  <si>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</si>
  <si>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</si>
  <si>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</si>
  <si>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</si>
  <si>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</si>
  <si>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</si>
  <si>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</si>
  <si>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</si>
  <si>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</si>
  <si>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</si>
  <si>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</si>
  <si>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</si>
  <si>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</si>
  <si>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</si>
  <si>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</si>
  <si>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</si>
  <si>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</si>
  <si>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</si>
  <si>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</si>
  <si>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</si>
  <si>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</si>
  <si>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</si>
  <si>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</si>
  <si>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</si>
  <si>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</si>
  <si>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</si>
  <si>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</si>
  <si>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</si>
  <si>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</si>
  <si>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</si>
  <si>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</si>
  <si>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</si>
  <si>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</si>
  <si>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</si>
  <si>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</si>
  <si>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</si>
  <si>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</si>
  <si>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</si>
  <si>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</si>
  <si>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</si>
  <si>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</si>
  <si>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</si>
  <si>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</si>
  <si>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</si>
  <si>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</si>
  <si>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</si>
  <si>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</si>
  <si>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</si>
  <si>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</si>
  <si>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</si>
  <si>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</si>
  <si>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</si>
  <si>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</si>
  <si>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</si>
  <si>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</si>
  <si>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</si>
  <si>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</si>
  <si>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</si>
  <si>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</si>
  <si>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</si>
  <si>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</si>
  <si>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</si>
  <si>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</si>
  <si>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</si>
  <si>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</si>
  <si>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</si>
  <si>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</si>
  <si>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 salary</t>
  </si>
  <si>
    <t>Avg salary</t>
  </si>
  <si>
    <t>frist name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</si>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</sst>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7" formatCode="&quot;₹&quot;\ #,##0.00"/>
  </numFmts>
  <fonts count="5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0" borderId="5" xfId="0" applyFont="1" applyBorder="1"/>
    <xf numFmtId="0" fontId="0" fillId="6" borderId="0" xfId="0" applyFill="1"/>
    <xf numFmtId="0" fontId="0" fillId="0" borderId="4" xfId="0" applyBorder="1"/>
    <xf numFmtId="0" fontId="0" fillId="6" borderId="6" xfId="0" applyFill="1" applyBorder="1"/>
    <xf numFmtId="0" fontId="0" fillId="0" borderId="6" xfId="0" applyBorder="1"/>
    <xf numFmtId="167" fontId="0" fillId="0" borderId="6" xfId="0" applyNumberFormat="1" applyBorder="1"/>
    <xf numFmtId="0" fontId="0" fillId="6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5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F833E709-68D0-4D05-A0BC-E7F820349A24}">
    <filterColumn colId="5">
      <customFilters>
        <customFilter operator="greaterThan" val="100000"/>
      </customFilters>
    </filterColumn>
  </autoFilter>
  <sortState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sheetPr codeName="Sheet1"/>
  <dimension ref="A1:N265"/>
  <sheetViews>
    <sheetView showGridLines="0" topLeftCell="B1" zoomScale="145" zoomScaleNormal="145" workbookViewId="0">
      <selection activeCell="G15" sqref="G15"/>
    </sheetView>
  </sheetViews>
  <sheetFormatPr defaultRowHeight="1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>
      <c r="A1" s="1"/>
      <c r="C1" s="3" t="s">
        <v>739</v>
      </c>
    </row>
    <row r="5" spans="1:14" ht="21" customHeight="1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4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>
      <c r="H16" s="5"/>
      <c r="J16" s="6"/>
      <c r="N16" s="4"/>
    </row>
    <row r="17" spans="8:14">
      <c r="H17" s="5"/>
      <c r="J17" s="6"/>
      <c r="N17" s="4"/>
    </row>
    <row r="18" spans="8:14">
      <c r="H18" s="5"/>
      <c r="J18" s="6"/>
      <c r="N18" s="4"/>
    </row>
    <row r="19" spans="8:14">
      <c r="H19" s="5"/>
      <c r="J19" s="6"/>
      <c r="N19" s="4"/>
    </row>
    <row r="20" spans="8:14">
      <c r="H20" s="5"/>
      <c r="J20" s="6"/>
      <c r="N20" s="4"/>
    </row>
    <row r="21" spans="8:14">
      <c r="H21" s="5"/>
      <c r="J21" s="6"/>
      <c r="N21" s="4"/>
    </row>
    <row r="22" spans="8:14">
      <c r="H22" s="5"/>
      <c r="J22" s="6"/>
      <c r="N22" s="4"/>
    </row>
    <row r="23" spans="8:14">
      <c r="H23" s="5"/>
      <c r="J23" s="6"/>
      <c r="N23" s="4"/>
    </row>
    <row r="24" spans="8:14">
      <c r="H24" s="5"/>
      <c r="J24" s="6"/>
      <c r="N24" s="4"/>
    </row>
    <row r="25" spans="8:14">
      <c r="H25" s="5"/>
      <c r="J25" s="6"/>
      <c r="N25" s="4"/>
    </row>
    <row r="26" spans="8:14">
      <c r="H26" s="5"/>
      <c r="J26" s="6"/>
      <c r="N26" s="4"/>
    </row>
    <row r="27" spans="8:14">
      <c r="H27" s="5"/>
      <c r="J27" s="6"/>
      <c r="N27" s="4"/>
    </row>
    <row r="28" spans="8:14">
      <c r="H28" s="5"/>
      <c r="J28" s="6"/>
      <c r="N28" s="4"/>
    </row>
    <row r="29" spans="8:14">
      <c r="H29" s="5"/>
      <c r="J29" s="6"/>
      <c r="N29" s="4"/>
    </row>
    <row r="30" spans="8:14">
      <c r="H30" s="5"/>
      <c r="J30" s="6"/>
      <c r="N30" s="4"/>
    </row>
    <row r="31" spans="8:14">
      <c r="H31" s="5"/>
      <c r="J31" s="6"/>
      <c r="N31" s="4"/>
    </row>
    <row r="32" spans="8:14">
      <c r="H32" s="5"/>
      <c r="J32" s="6"/>
      <c r="N32" s="4"/>
    </row>
    <row r="33" spans="8:14">
      <c r="H33" s="5"/>
      <c r="J33" s="6"/>
      <c r="N33" s="4"/>
    </row>
    <row r="34" spans="8:14">
      <c r="H34" s="5"/>
      <c r="J34" s="6"/>
      <c r="N34" s="4"/>
    </row>
    <row r="35" spans="8:14">
      <c r="H35" s="5"/>
      <c r="J35" s="6"/>
      <c r="N35" s="4"/>
    </row>
    <row r="36" spans="8:14">
      <c r="H36" s="5"/>
      <c r="J36" s="6"/>
      <c r="N36" s="4"/>
    </row>
    <row r="37" spans="8:14">
      <c r="H37" s="5"/>
      <c r="J37" s="6"/>
      <c r="N37" s="4"/>
    </row>
    <row r="38" spans="8:14">
      <c r="H38" s="5"/>
      <c r="J38" s="6"/>
      <c r="N38" s="4"/>
    </row>
    <row r="39" spans="8:14">
      <c r="H39" s="5"/>
      <c r="J39" s="6"/>
      <c r="N39" s="4"/>
    </row>
    <row r="40" spans="8:14">
      <c r="H40" s="5"/>
      <c r="J40" s="6"/>
      <c r="N40" s="4"/>
    </row>
    <row r="41" spans="8:14">
      <c r="H41" s="5"/>
      <c r="J41" s="6"/>
      <c r="N41" s="4"/>
    </row>
    <row r="42" spans="8:14">
      <c r="H42" s="5"/>
      <c r="J42" s="6"/>
      <c r="N42" s="4"/>
    </row>
    <row r="43" spans="8:14">
      <c r="H43" s="5"/>
      <c r="J43" s="6"/>
      <c r="N43" s="4"/>
    </row>
    <row r="44" spans="8:14">
      <c r="H44" s="5"/>
      <c r="J44" s="6"/>
      <c r="N44" s="4"/>
    </row>
    <row r="45" spans="8:14">
      <c r="H45" s="5"/>
      <c r="J45" s="6"/>
      <c r="N45" s="4"/>
    </row>
    <row r="46" spans="8:14">
      <c r="H46" s="5"/>
      <c r="J46" s="6"/>
      <c r="N46" s="4"/>
    </row>
    <row r="47" spans="8:14">
      <c r="H47" s="5"/>
      <c r="J47" s="6"/>
      <c r="N47" s="4"/>
    </row>
    <row r="48" spans="8:14">
      <c r="H48" s="5"/>
      <c r="J48" s="6"/>
      <c r="N48" s="4"/>
    </row>
    <row r="49" spans="8:14">
      <c r="H49" s="5"/>
      <c r="J49" s="6"/>
      <c r="N49" s="4"/>
    </row>
    <row r="50" spans="8:14">
      <c r="H50" s="5"/>
      <c r="J50" s="6"/>
      <c r="N50" s="4"/>
    </row>
    <row r="51" spans="8:14">
      <c r="H51" s="5"/>
      <c r="J51" s="6"/>
      <c r="N51" s="4"/>
    </row>
    <row r="52" spans="8:14">
      <c r="H52" s="5"/>
      <c r="J52" s="6"/>
      <c r="N52" s="4"/>
    </row>
    <row r="53" spans="8:14">
      <c r="H53" s="5"/>
      <c r="J53" s="6"/>
      <c r="N53" s="4"/>
    </row>
    <row r="54" spans="8:14">
      <c r="H54" s="5"/>
      <c r="J54" s="6"/>
      <c r="N54" s="4"/>
    </row>
    <row r="55" spans="8:14">
      <c r="H55" s="5"/>
      <c r="J55" s="6"/>
      <c r="N55" s="4"/>
    </row>
    <row r="56" spans="8:14">
      <c r="H56" s="5"/>
      <c r="J56" s="6"/>
      <c r="N56" s="4"/>
    </row>
    <row r="57" spans="8:14">
      <c r="H57" s="5"/>
      <c r="J57" s="6"/>
      <c r="N57" s="4"/>
    </row>
    <row r="58" spans="8:14">
      <c r="H58" s="5"/>
      <c r="J58" s="6"/>
      <c r="N58" s="4"/>
    </row>
    <row r="59" spans="8:14">
      <c r="H59" s="5"/>
      <c r="J59" s="6"/>
      <c r="N59" s="4"/>
    </row>
    <row r="60" spans="8:14">
      <c r="H60" s="5"/>
      <c r="J60" s="6"/>
      <c r="N60" s="4"/>
    </row>
    <row r="61" spans="8:14">
      <c r="H61" s="5"/>
      <c r="J61" s="6"/>
      <c r="N61" s="4"/>
    </row>
    <row r="62" spans="8:14">
      <c r="H62" s="5"/>
      <c r="J62" s="6"/>
      <c r="N62" s="4"/>
    </row>
    <row r="63" spans="8:14">
      <c r="H63" s="5"/>
      <c r="J63" s="6"/>
      <c r="N63" s="4"/>
    </row>
    <row r="64" spans="8:14">
      <c r="H64" s="5"/>
      <c r="J64" s="6"/>
      <c r="N64" s="4"/>
    </row>
    <row r="65" spans="8:14">
      <c r="H65" s="5"/>
      <c r="J65" s="6"/>
      <c r="N65" s="4"/>
    </row>
    <row r="66" spans="8:14">
      <c r="H66" s="5"/>
      <c r="J66" s="6"/>
      <c r="N66" s="4"/>
    </row>
    <row r="67" spans="8:14">
      <c r="H67" s="5"/>
      <c r="J67" s="6"/>
      <c r="N67" s="4"/>
    </row>
    <row r="68" spans="8:14">
      <c r="H68" s="5"/>
      <c r="J68" s="6"/>
      <c r="N68" s="4"/>
    </row>
    <row r="69" spans="8:14">
      <c r="H69" s="5"/>
      <c r="J69" s="6"/>
      <c r="N69" s="4"/>
    </row>
    <row r="70" spans="8:14">
      <c r="H70" s="5"/>
      <c r="J70" s="6"/>
      <c r="N70" s="4"/>
    </row>
    <row r="71" spans="8:14">
      <c r="H71" s="5"/>
      <c r="J71" s="6"/>
      <c r="N71" s="4"/>
    </row>
    <row r="72" spans="8:14">
      <c r="H72" s="5"/>
      <c r="J72" s="6"/>
      <c r="N72" s="4"/>
    </row>
    <row r="73" spans="8:14">
      <c r="H73" s="5"/>
      <c r="J73" s="6"/>
      <c r="N73" s="4"/>
    </row>
    <row r="74" spans="8:14">
      <c r="H74" s="5"/>
      <c r="J74" s="6"/>
      <c r="N74" s="4"/>
    </row>
    <row r="75" spans="8:14">
      <c r="H75" s="5"/>
      <c r="J75" s="6"/>
      <c r="N75" s="4"/>
    </row>
    <row r="76" spans="8:14">
      <c r="H76" s="5"/>
      <c r="J76" s="6"/>
      <c r="N76" s="4"/>
    </row>
    <row r="77" spans="8:14">
      <c r="H77" s="5"/>
      <c r="J77" s="6"/>
      <c r="N77" s="4"/>
    </row>
    <row r="78" spans="8:14">
      <c r="H78" s="5"/>
      <c r="J78" s="6"/>
      <c r="N78" s="4"/>
    </row>
    <row r="79" spans="8:14">
      <c r="H79" s="5"/>
      <c r="J79" s="6"/>
      <c r="N79" s="4"/>
    </row>
    <row r="80" spans="8:14">
      <c r="H80" s="5"/>
      <c r="J80" s="6"/>
      <c r="N80" s="4"/>
    </row>
    <row r="81" spans="8:14">
      <c r="H81" s="5"/>
      <c r="J81" s="6"/>
      <c r="N81" s="4"/>
    </row>
    <row r="82" spans="8:14">
      <c r="H82" s="5"/>
      <c r="J82" s="6"/>
      <c r="N82" s="4"/>
    </row>
    <row r="83" spans="8:14">
      <c r="H83" s="5"/>
      <c r="J83" s="6"/>
      <c r="N83" s="4"/>
    </row>
    <row r="84" spans="8:14">
      <c r="H84" s="5"/>
      <c r="J84" s="6"/>
      <c r="N84" s="4"/>
    </row>
    <row r="85" spans="8:14">
      <c r="H85" s="5"/>
      <c r="J85" s="6"/>
      <c r="N85" s="4"/>
    </row>
    <row r="86" spans="8:14">
      <c r="H86" s="5"/>
      <c r="J86" s="6"/>
      <c r="N86" s="4"/>
    </row>
    <row r="87" spans="8:14">
      <c r="H87" s="5"/>
      <c r="J87" s="6"/>
      <c r="N87" s="4"/>
    </row>
    <row r="88" spans="8:14">
      <c r="H88" s="5"/>
      <c r="J88" s="6"/>
      <c r="N88" s="4"/>
    </row>
    <row r="89" spans="8:14">
      <c r="H89" s="5"/>
      <c r="J89" s="6"/>
      <c r="N89" s="4"/>
    </row>
    <row r="90" spans="8:14">
      <c r="H90" s="5"/>
      <c r="J90" s="6"/>
      <c r="N90" s="4"/>
    </row>
    <row r="91" spans="8:14">
      <c r="H91" s="5"/>
      <c r="J91" s="6"/>
      <c r="N91" s="4"/>
    </row>
    <row r="92" spans="8:14">
      <c r="H92" s="5"/>
      <c r="J92" s="6"/>
      <c r="N92" s="4"/>
    </row>
    <row r="93" spans="8:14">
      <c r="H93" s="5"/>
      <c r="J93" s="6"/>
      <c r="N93" s="4"/>
    </row>
    <row r="94" spans="8:14">
      <c r="H94" s="5"/>
      <c r="J94" s="6"/>
      <c r="N94" s="4"/>
    </row>
    <row r="95" spans="8:14">
      <c r="H95" s="5"/>
      <c r="J95" s="6"/>
      <c r="N95" s="4"/>
    </row>
    <row r="96" spans="8:14">
      <c r="H96" s="5"/>
      <c r="J96" s="6"/>
      <c r="N96" s="4"/>
    </row>
    <row r="97" spans="8:14">
      <c r="H97" s="5"/>
      <c r="J97" s="6"/>
      <c r="N97" s="4"/>
    </row>
    <row r="98" spans="8:14">
      <c r="H98" s="5"/>
      <c r="J98" s="6"/>
      <c r="N98" s="4"/>
    </row>
    <row r="99" spans="8:14">
      <c r="H99" s="5"/>
      <c r="J99" s="6"/>
      <c r="N99" s="4"/>
    </row>
    <row r="100" spans="8:14">
      <c r="H100" s="5"/>
      <c r="J100" s="6"/>
      <c r="N100" s="4"/>
    </row>
    <row r="101" spans="8:14">
      <c r="H101" s="5"/>
      <c r="J101" s="6"/>
      <c r="N101" s="4"/>
    </row>
    <row r="102" spans="8:14">
      <c r="H102" s="5"/>
      <c r="J102" s="6"/>
      <c r="N102" s="4"/>
    </row>
    <row r="103" spans="8:14">
      <c r="H103" s="5"/>
      <c r="J103" s="6"/>
      <c r="N103" s="4"/>
    </row>
    <row r="104" spans="8:14">
      <c r="H104" s="5"/>
      <c r="J104" s="6"/>
      <c r="N104" s="4"/>
    </row>
    <row r="105" spans="8:14">
      <c r="H105" s="5"/>
      <c r="J105" s="6"/>
      <c r="N105" s="4"/>
    </row>
    <row r="106" spans="8:14">
      <c r="H106" s="5"/>
      <c r="J106" s="6"/>
      <c r="N106" s="4"/>
    </row>
    <row r="107" spans="8:14">
      <c r="H107" s="5"/>
      <c r="J107" s="6"/>
      <c r="N107" s="4"/>
    </row>
    <row r="108" spans="8:14">
      <c r="H108" s="5"/>
      <c r="J108" s="6"/>
      <c r="N108" s="4"/>
    </row>
    <row r="109" spans="8:14">
      <c r="H109" s="5"/>
      <c r="J109" s="6"/>
      <c r="N109" s="4"/>
    </row>
    <row r="110" spans="8:14">
      <c r="H110" s="5"/>
      <c r="J110" s="6"/>
      <c r="N110" s="4"/>
    </row>
    <row r="111" spans="8:14">
      <c r="H111" s="5"/>
      <c r="J111" s="6"/>
      <c r="N111" s="4"/>
    </row>
    <row r="112" spans="8:14">
      <c r="H112" s="5"/>
      <c r="J112" s="6"/>
      <c r="N112" s="4"/>
    </row>
    <row r="113" spans="8:14">
      <c r="H113" s="5"/>
      <c r="J113" s="6"/>
      <c r="N113" s="4"/>
    </row>
    <row r="114" spans="8:14">
      <c r="H114" s="5"/>
      <c r="J114" s="6"/>
      <c r="N114" s="4"/>
    </row>
    <row r="115" spans="8:14">
      <c r="H115" s="5"/>
      <c r="J115" s="6"/>
      <c r="N115" s="4"/>
    </row>
    <row r="116" spans="8:14">
      <c r="H116" s="5"/>
      <c r="J116" s="6"/>
      <c r="N116" s="4"/>
    </row>
    <row r="117" spans="8:14">
      <c r="H117" s="5"/>
      <c r="J117" s="6"/>
      <c r="N117" s="4"/>
    </row>
    <row r="118" spans="8:14">
      <c r="H118" s="5"/>
      <c r="J118" s="6"/>
      <c r="N118" s="4"/>
    </row>
    <row r="119" spans="8:14">
      <c r="H119" s="5"/>
      <c r="J119" s="6"/>
      <c r="N119" s="4"/>
    </row>
    <row r="120" spans="8:14">
      <c r="H120" s="5"/>
      <c r="J120" s="6"/>
      <c r="N120" s="4"/>
    </row>
    <row r="121" spans="8:14">
      <c r="H121" s="5"/>
      <c r="J121" s="6"/>
      <c r="N121" s="4"/>
    </row>
    <row r="122" spans="8:14">
      <c r="H122" s="5"/>
      <c r="J122" s="6"/>
      <c r="N122" s="4"/>
    </row>
    <row r="123" spans="8:14">
      <c r="H123" s="5"/>
      <c r="J123" s="6"/>
      <c r="N123" s="4"/>
    </row>
    <row r="124" spans="8:14">
      <c r="H124" s="5"/>
      <c r="J124" s="6"/>
      <c r="N124" s="4"/>
    </row>
    <row r="125" spans="8:14">
      <c r="H125" s="5"/>
      <c r="J125" s="6"/>
      <c r="N125" s="4"/>
    </row>
    <row r="126" spans="8:14">
      <c r="H126" s="5"/>
      <c r="J126" s="6"/>
      <c r="N126" s="4"/>
    </row>
    <row r="127" spans="8:14">
      <c r="H127" s="5"/>
      <c r="J127" s="6"/>
      <c r="N127" s="4"/>
    </row>
    <row r="128" spans="8:14">
      <c r="H128" s="5"/>
      <c r="J128" s="6"/>
      <c r="N128" s="4"/>
    </row>
    <row r="129" spans="8:14">
      <c r="H129" s="5"/>
      <c r="J129" s="6"/>
      <c r="N129" s="4"/>
    </row>
    <row r="130" spans="8:14">
      <c r="H130" s="5"/>
      <c r="J130" s="6"/>
      <c r="N130" s="4"/>
    </row>
    <row r="131" spans="8:14">
      <c r="H131" s="5"/>
      <c r="J131" s="6"/>
      <c r="N131" s="4"/>
    </row>
    <row r="132" spans="8:14">
      <c r="H132" s="5"/>
      <c r="J132" s="6"/>
      <c r="N132" s="4"/>
    </row>
    <row r="133" spans="8:14">
      <c r="H133" s="5"/>
      <c r="J133" s="6"/>
      <c r="N133" s="4"/>
    </row>
    <row r="134" spans="8:14">
      <c r="H134" s="5"/>
      <c r="J134" s="6"/>
      <c r="N134" s="4"/>
    </row>
    <row r="135" spans="8:14">
      <c r="H135" s="5"/>
      <c r="J135" s="6"/>
      <c r="N135" s="4"/>
    </row>
    <row r="136" spans="8:14">
      <c r="H136" s="5"/>
      <c r="J136" s="6"/>
      <c r="N136" s="4"/>
    </row>
    <row r="137" spans="8:14">
      <c r="H137" s="5"/>
      <c r="J137" s="6"/>
      <c r="N137" s="4"/>
    </row>
    <row r="138" spans="8:14">
      <c r="H138" s="5"/>
      <c r="J138" s="6"/>
      <c r="N138" s="4"/>
    </row>
    <row r="139" spans="8:14">
      <c r="H139" s="5"/>
      <c r="J139" s="6"/>
      <c r="N139" s="4"/>
    </row>
    <row r="140" spans="8:14">
      <c r="H140" s="5"/>
      <c r="J140" s="6"/>
      <c r="N140" s="4"/>
    </row>
    <row r="141" spans="8:14">
      <c r="H141" s="5"/>
      <c r="J141" s="6"/>
      <c r="N141" s="4"/>
    </row>
    <row r="142" spans="8:14">
      <c r="H142" s="5"/>
      <c r="J142" s="6"/>
      <c r="N142" s="4"/>
    </row>
    <row r="143" spans="8:14">
      <c r="H143" s="5"/>
      <c r="J143" s="6"/>
      <c r="N143" s="4"/>
    </row>
    <row r="144" spans="8:14">
      <c r="H144" s="5"/>
      <c r="J144" s="6"/>
      <c r="N144" s="4"/>
    </row>
    <row r="145" spans="8:14">
      <c r="H145" s="5"/>
      <c r="J145" s="6"/>
      <c r="N145" s="4"/>
    </row>
    <row r="146" spans="8:14">
      <c r="H146" s="5"/>
      <c r="J146" s="6"/>
      <c r="N146" s="4"/>
    </row>
    <row r="147" spans="8:14">
      <c r="H147" s="5"/>
      <c r="J147" s="6"/>
      <c r="N147" s="4"/>
    </row>
    <row r="148" spans="8:14">
      <c r="H148" s="5"/>
      <c r="J148" s="6"/>
      <c r="N148" s="4"/>
    </row>
    <row r="149" spans="8:14">
      <c r="H149" s="5"/>
      <c r="J149" s="6"/>
      <c r="N149" s="4"/>
    </row>
    <row r="150" spans="8:14">
      <c r="H150" s="5"/>
      <c r="J150" s="6"/>
      <c r="N150" s="4"/>
    </row>
    <row r="151" spans="8:14">
      <c r="H151" s="5"/>
      <c r="J151" s="6"/>
      <c r="N151" s="4"/>
    </row>
    <row r="152" spans="8:14">
      <c r="H152" s="5"/>
      <c r="J152" s="6"/>
      <c r="N152" s="4"/>
    </row>
    <row r="153" spans="8:14">
      <c r="H153" s="5"/>
      <c r="J153" s="6"/>
      <c r="N153" s="4"/>
    </row>
    <row r="154" spans="8:14">
      <c r="H154" s="5"/>
      <c r="J154" s="6"/>
      <c r="N154" s="4"/>
    </row>
    <row r="155" spans="8:14">
      <c r="H155" s="5"/>
      <c r="J155" s="6"/>
      <c r="N155" s="4"/>
    </row>
    <row r="156" spans="8:14">
      <c r="H156" s="5"/>
      <c r="J156" s="6"/>
      <c r="N156" s="4"/>
    </row>
    <row r="157" spans="8:14">
      <c r="H157" s="5"/>
      <c r="J157" s="6"/>
      <c r="N157" s="4"/>
    </row>
    <row r="158" spans="8:14">
      <c r="H158" s="5"/>
      <c r="J158" s="6"/>
      <c r="N158" s="4"/>
    </row>
    <row r="159" spans="8:14">
      <c r="H159" s="5"/>
      <c r="J159" s="6"/>
      <c r="N159" s="4"/>
    </row>
    <row r="160" spans="8:14">
      <c r="H160" s="5"/>
      <c r="J160" s="6"/>
      <c r="N160" s="4"/>
    </row>
    <row r="161" spans="8:14">
      <c r="H161" s="5"/>
      <c r="J161" s="6"/>
      <c r="N161" s="4"/>
    </row>
    <row r="162" spans="8:14">
      <c r="H162" s="5"/>
      <c r="J162" s="6"/>
      <c r="N162" s="4"/>
    </row>
    <row r="163" spans="8:14">
      <c r="H163" s="5"/>
      <c r="J163" s="6"/>
      <c r="N163" s="4"/>
    </row>
    <row r="164" spans="8:14">
      <c r="H164" s="5"/>
      <c r="J164" s="6"/>
      <c r="N164" s="4"/>
    </row>
    <row r="165" spans="8:14">
      <c r="H165" s="5"/>
      <c r="J165" s="6"/>
      <c r="N165" s="4"/>
    </row>
    <row r="166" spans="8:14">
      <c r="H166" s="5"/>
      <c r="J166" s="6"/>
      <c r="N166" s="4"/>
    </row>
    <row r="167" spans="8:14">
      <c r="H167" s="5"/>
      <c r="J167" s="6"/>
      <c r="N167" s="4"/>
    </row>
    <row r="168" spans="8:14">
      <c r="H168" s="5"/>
      <c r="J168" s="6"/>
      <c r="N168" s="4"/>
    </row>
    <row r="169" spans="8:14">
      <c r="H169" s="5"/>
      <c r="J169" s="6"/>
      <c r="N169" s="4"/>
    </row>
    <row r="170" spans="8:14">
      <c r="H170" s="5"/>
      <c r="J170" s="6"/>
      <c r="N170" s="4"/>
    </row>
    <row r="171" spans="8:14">
      <c r="H171" s="5"/>
      <c r="J171" s="6"/>
      <c r="N171" s="4"/>
    </row>
    <row r="172" spans="8:14">
      <c r="H172" s="5"/>
      <c r="J172" s="6"/>
      <c r="N172" s="4"/>
    </row>
    <row r="173" spans="8:14">
      <c r="H173" s="5"/>
      <c r="J173" s="6"/>
      <c r="N173" s="4"/>
    </row>
    <row r="174" spans="8:14">
      <c r="H174" s="5"/>
      <c r="J174" s="6"/>
      <c r="N174" s="4"/>
    </row>
    <row r="175" spans="8:14">
      <c r="H175" s="5"/>
      <c r="J175" s="6"/>
      <c r="N175" s="4"/>
    </row>
    <row r="176" spans="8:14">
      <c r="H176" s="5"/>
      <c r="J176" s="6"/>
      <c r="N176" s="4"/>
    </row>
    <row r="177" spans="8:14">
      <c r="H177" s="5"/>
      <c r="J177" s="6"/>
      <c r="N177" s="4"/>
    </row>
    <row r="178" spans="8:14">
      <c r="H178" s="5"/>
      <c r="J178" s="6"/>
      <c r="N178" s="4"/>
    </row>
    <row r="179" spans="8:14">
      <c r="H179" s="5"/>
      <c r="J179" s="6"/>
      <c r="N179" s="4"/>
    </row>
    <row r="180" spans="8:14">
      <c r="H180" s="5"/>
      <c r="J180" s="6"/>
      <c r="N180" s="4"/>
    </row>
    <row r="181" spans="8:14">
      <c r="H181" s="5"/>
      <c r="J181" s="6"/>
      <c r="N181" s="4"/>
    </row>
    <row r="182" spans="8:14">
      <c r="H182" s="5"/>
      <c r="J182" s="6"/>
      <c r="N182" s="4"/>
    </row>
    <row r="183" spans="8:14">
      <c r="H183" s="5"/>
      <c r="J183" s="6"/>
      <c r="N183" s="4"/>
    </row>
    <row r="184" spans="8:14">
      <c r="H184" s="5"/>
      <c r="J184" s="6"/>
      <c r="N184" s="4"/>
    </row>
    <row r="185" spans="8:14">
      <c r="H185" s="5"/>
      <c r="J185" s="6"/>
      <c r="N185" s="4"/>
    </row>
    <row r="186" spans="8:14">
      <c r="H186" s="5"/>
      <c r="J186" s="6"/>
      <c r="N186" s="4"/>
    </row>
    <row r="187" spans="8:14">
      <c r="H187" s="5"/>
      <c r="J187" s="6"/>
      <c r="N187" s="4"/>
    </row>
    <row r="188" spans="8:14">
      <c r="H188" s="5"/>
      <c r="J188" s="6"/>
      <c r="N188" s="4"/>
    </row>
    <row r="189" spans="8:14">
      <c r="H189" s="5"/>
      <c r="J189" s="6"/>
      <c r="N189" s="4"/>
    </row>
    <row r="190" spans="8:14">
      <c r="H190" s="5"/>
      <c r="J190" s="6"/>
      <c r="N190" s="4"/>
    </row>
    <row r="191" spans="8:14">
      <c r="H191" s="5"/>
      <c r="J191" s="6"/>
      <c r="N191" s="4"/>
    </row>
    <row r="192" spans="8:14">
      <c r="H192" s="5"/>
      <c r="J192" s="6"/>
      <c r="N192" s="4"/>
    </row>
    <row r="193" spans="8:14">
      <c r="H193" s="5"/>
      <c r="J193" s="6"/>
      <c r="N193" s="4"/>
    </row>
    <row r="194" spans="8:14">
      <c r="H194" s="5"/>
      <c r="J194" s="6"/>
      <c r="N194" s="4"/>
    </row>
    <row r="195" spans="8:14">
      <c r="H195" s="5"/>
      <c r="J195" s="6"/>
      <c r="N195" s="4"/>
    </row>
    <row r="196" spans="8:14">
      <c r="H196" s="5"/>
      <c r="J196" s="6"/>
      <c r="N196" s="4"/>
    </row>
    <row r="197" spans="8:14">
      <c r="H197" s="5"/>
      <c r="J197" s="6"/>
      <c r="N197" s="4"/>
    </row>
    <row r="198" spans="8:14">
      <c r="H198" s="5"/>
      <c r="J198" s="6"/>
      <c r="N198" s="4"/>
    </row>
    <row r="199" spans="8:14">
      <c r="H199" s="5"/>
      <c r="J199" s="6"/>
      <c r="N199" s="4"/>
    </row>
    <row r="200" spans="8:14">
      <c r="H200" s="5"/>
      <c r="J200" s="6"/>
      <c r="N200" s="4"/>
    </row>
    <row r="201" spans="8:14">
      <c r="H201" s="5"/>
      <c r="J201" s="6"/>
      <c r="N201" s="4"/>
    </row>
    <row r="202" spans="8:14">
      <c r="H202" s="5"/>
      <c r="J202" s="6"/>
      <c r="N202" s="4"/>
    </row>
    <row r="203" spans="8:14">
      <c r="H203" s="5"/>
      <c r="J203" s="6"/>
      <c r="N203" s="4"/>
    </row>
    <row r="204" spans="8:14">
      <c r="H204" s="5"/>
      <c r="J204" s="6"/>
      <c r="N204" s="4"/>
    </row>
    <row r="205" spans="8:14">
      <c r="H205" s="5"/>
      <c r="J205" s="6"/>
      <c r="N205" s="4"/>
    </row>
    <row r="206" spans="8:14">
      <c r="H206" s="5"/>
      <c r="J206" s="6"/>
      <c r="N206" s="4"/>
    </row>
    <row r="207" spans="8:14">
      <c r="H207" s="5"/>
      <c r="J207" s="6"/>
      <c r="N207" s="4"/>
    </row>
    <row r="208" spans="8:14">
      <c r="H208" s="5"/>
      <c r="J208" s="6"/>
      <c r="N208" s="4"/>
    </row>
    <row r="209" spans="8:14">
      <c r="H209" s="5"/>
      <c r="J209" s="6"/>
      <c r="N209" s="4"/>
    </row>
    <row r="210" spans="8:14">
      <c r="H210" s="5"/>
      <c r="J210" s="6"/>
      <c r="N210" s="4"/>
    </row>
    <row r="211" spans="8:14">
      <c r="H211" s="5"/>
      <c r="J211" s="6"/>
      <c r="N211" s="4"/>
    </row>
    <row r="212" spans="8:14">
      <c r="H212" s="5"/>
      <c r="J212" s="6"/>
      <c r="N212" s="4"/>
    </row>
    <row r="213" spans="8:14">
      <c r="H213" s="5"/>
      <c r="J213" s="6"/>
      <c r="N213" s="4"/>
    </row>
    <row r="214" spans="8:14">
      <c r="H214" s="5"/>
      <c r="J214" s="6"/>
      <c r="N214" s="4"/>
    </row>
    <row r="215" spans="8:14">
      <c r="H215" s="5"/>
      <c r="J215" s="6"/>
      <c r="N215" s="4"/>
    </row>
    <row r="216" spans="8:14">
      <c r="H216" s="5"/>
      <c r="J216" s="6"/>
      <c r="N216" s="4"/>
    </row>
    <row r="217" spans="8:14">
      <c r="H217" s="5"/>
      <c r="J217" s="6"/>
      <c r="N217" s="4"/>
    </row>
    <row r="218" spans="8:14">
      <c r="H218" s="5"/>
      <c r="J218" s="6"/>
      <c r="N218" s="4"/>
    </row>
    <row r="219" spans="8:14">
      <c r="H219" s="5"/>
      <c r="J219" s="6"/>
      <c r="N219" s="4"/>
    </row>
    <row r="220" spans="8:14">
      <c r="H220" s="5"/>
      <c r="J220" s="6"/>
      <c r="N220" s="4"/>
    </row>
    <row r="221" spans="8:14">
      <c r="H221" s="5"/>
      <c r="J221" s="6"/>
      <c r="N221" s="4"/>
    </row>
    <row r="222" spans="8:14">
      <c r="H222" s="5"/>
      <c r="J222" s="6"/>
      <c r="N222" s="4"/>
    </row>
    <row r="223" spans="8:14">
      <c r="H223" s="5"/>
      <c r="J223" s="6"/>
      <c r="N223" s="4"/>
    </row>
    <row r="224" spans="8:14">
      <c r="H224" s="5"/>
      <c r="J224" s="6"/>
      <c r="N224" s="4"/>
    </row>
    <row r="225" spans="8:14">
      <c r="H225" s="5"/>
      <c r="J225" s="6"/>
      <c r="N225" s="4"/>
    </row>
    <row r="226" spans="8:14">
      <c r="H226" s="5"/>
      <c r="J226" s="6"/>
      <c r="N226" s="4"/>
    </row>
    <row r="227" spans="8:14">
      <c r="H227" s="5"/>
      <c r="J227" s="6"/>
      <c r="N227" s="4"/>
    </row>
    <row r="228" spans="8:14">
      <c r="H228" s="5"/>
      <c r="J228" s="6"/>
      <c r="N228" s="4"/>
    </row>
    <row r="229" spans="8:14">
      <c r="H229" s="5"/>
      <c r="J229" s="6"/>
      <c r="N229" s="4"/>
    </row>
    <row r="230" spans="8:14">
      <c r="H230" s="5"/>
      <c r="J230" s="6"/>
      <c r="N230" s="4"/>
    </row>
    <row r="231" spans="8:14">
      <c r="H231" s="5"/>
      <c r="J231" s="6"/>
      <c r="N231" s="4"/>
    </row>
    <row r="232" spans="8:14">
      <c r="H232" s="5"/>
      <c r="J232" s="6"/>
      <c r="N232" s="4"/>
    </row>
    <row r="233" spans="8:14">
      <c r="H233" s="5"/>
      <c r="J233" s="6"/>
      <c r="N233" s="4"/>
    </row>
    <row r="234" spans="8:14">
      <c r="H234" s="5"/>
      <c r="J234" s="6"/>
      <c r="N234" s="4"/>
    </row>
    <row r="235" spans="8:14">
      <c r="H235" s="5"/>
      <c r="J235" s="6"/>
      <c r="N235" s="4"/>
    </row>
    <row r="236" spans="8:14">
      <c r="H236" s="5"/>
      <c r="J236" s="6"/>
      <c r="N236" s="4"/>
    </row>
    <row r="237" spans="8:14">
      <c r="H237" s="5"/>
      <c r="J237" s="6"/>
      <c r="N237" s="4"/>
    </row>
    <row r="238" spans="8:14">
      <c r="H238" s="5"/>
      <c r="J238" s="6"/>
      <c r="N238" s="4"/>
    </row>
    <row r="239" spans="8:14">
      <c r="H239" s="5"/>
      <c r="J239" s="6"/>
      <c r="N239" s="4"/>
    </row>
    <row r="240" spans="8:14">
      <c r="H240" s="5"/>
      <c r="J240" s="6"/>
      <c r="N240" s="4"/>
    </row>
    <row r="241" spans="8:14">
      <c r="H241" s="5"/>
      <c r="J241" s="6"/>
      <c r="N241" s="4"/>
    </row>
    <row r="242" spans="8:14">
      <c r="H242" s="5"/>
      <c r="J242" s="6"/>
      <c r="N242" s="4"/>
    </row>
    <row r="243" spans="8:14">
      <c r="H243" s="5"/>
      <c r="J243" s="6"/>
      <c r="N243" s="4"/>
    </row>
    <row r="244" spans="8:14">
      <c r="H244" s="5"/>
      <c r="J244" s="6"/>
      <c r="N244" s="4"/>
    </row>
    <row r="245" spans="8:14">
      <c r="H245" s="5"/>
      <c r="J245" s="6"/>
      <c r="N245" s="4"/>
    </row>
    <row r="246" spans="8:14">
      <c r="H246" s="5"/>
      <c r="J246" s="6"/>
      <c r="N246" s="4"/>
    </row>
    <row r="247" spans="8:14">
      <c r="H247" s="5"/>
      <c r="J247" s="6"/>
      <c r="N247" s="4"/>
    </row>
    <row r="248" spans="8:14">
      <c r="H248" s="5"/>
      <c r="J248" s="6"/>
      <c r="N248" s="4"/>
    </row>
    <row r="249" spans="8:14">
      <c r="H249" s="5"/>
      <c r="J249" s="6"/>
      <c r="N249" s="4"/>
    </row>
    <row r="250" spans="8:14">
      <c r="H250" s="5"/>
      <c r="J250" s="6"/>
      <c r="N250" s="4"/>
    </row>
    <row r="251" spans="8:14">
      <c r="H251" s="5"/>
      <c r="J251" s="6"/>
      <c r="N251" s="4"/>
    </row>
    <row r="252" spans="8:14">
      <c r="H252" s="5"/>
      <c r="J252" s="6"/>
      <c r="N252" s="4"/>
    </row>
    <row r="253" spans="8:14">
      <c r="H253" s="5"/>
      <c r="J253" s="6"/>
      <c r="N253" s="4"/>
    </row>
    <row r="254" spans="8:14">
      <c r="H254" s="5"/>
      <c r="J254" s="6"/>
      <c r="N254" s="4"/>
    </row>
    <row r="255" spans="8:14">
      <c r="H255" s="5"/>
      <c r="J255" s="6"/>
      <c r="N255" s="4"/>
    </row>
    <row r="256" spans="8:14">
      <c r="H256" s="5"/>
      <c r="J256" s="6"/>
      <c r="N256" s="4"/>
    </row>
    <row r="257" spans="8:14">
      <c r="H257" s="5"/>
      <c r="J257" s="6"/>
      <c r="N257" s="4"/>
    </row>
    <row r="258" spans="8:14">
      <c r="H258" s="5"/>
      <c r="J258" s="6"/>
      <c r="N258" s="4"/>
    </row>
    <row r="259" spans="8:14">
      <c r="H259" s="5"/>
      <c r="J259" s="6"/>
      <c r="N259" s="4"/>
    </row>
    <row r="260" spans="8:14">
      <c r="H260" s="5"/>
      <c r="J260" s="6"/>
      <c r="N260" s="4"/>
    </row>
    <row r="261" spans="8:14">
      <c r="H261" s="5"/>
      <c r="J261" s="6"/>
      <c r="N261" s="4"/>
    </row>
    <row r="262" spans="8:14">
      <c r="H262" s="5"/>
      <c r="J262" s="6"/>
      <c r="N262" s="4"/>
    </row>
    <row r="263" spans="8:14">
      <c r="H263" s="5"/>
      <c r="J263" s="6"/>
      <c r="N263" s="4"/>
    </row>
    <row r="264" spans="8:14">
      <c r="H264" s="5"/>
      <c r="J264" s="6"/>
      <c r="N264" s="4"/>
    </row>
    <row r="265" spans="8:14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 codeName="Sheet2"/>
  <dimension ref="A1:O267"/>
  <sheetViews>
    <sheetView showGridLines="0" topLeftCell="A16" workbookViewId="0">
      <selection activeCell="C84" sqref="C84"/>
    </sheetView>
  </sheetViews>
  <sheetFormatPr defaultRowHeight="1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>
      <c r="A1" s="1"/>
      <c r="C1" s="3" t="s">
        <v>739</v>
      </c>
    </row>
    <row r="7" spans="1:1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hidden="1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hidden="1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hidden="1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hidden="1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hidden="1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hidden="1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hidden="1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hidden="1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hidden="1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hidden="1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hidden="1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hidden="1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hidden="1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hidden="1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hidden="1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hidden="1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hidden="1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hidden="1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hidden="1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hidden="1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hidden="1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hidden="1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hidden="1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hidden="1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hidden="1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hidden="1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hidden="1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hidden="1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hidden="1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hidden="1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hidden="1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hidden="1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hidden="1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hidden="1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hidden="1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hidden="1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hidden="1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hidden="1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hidden="1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hidden="1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hidden="1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hidden="1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hidden="1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hidden="1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hidden="1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hidden="1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hidden="1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hidden="1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hidden="1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hidden="1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hidden="1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hidden="1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hidden="1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hidden="1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hidden="1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hidden="1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hidden="1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hidden="1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hidden="1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hidden="1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hidden="1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hidden="1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hidden="1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hidden="1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hidden="1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hidden="1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hidden="1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hidden="1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hidden="1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hidden="1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hidden="1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hidden="1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hidden="1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hidden="1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hidden="1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hidden="1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hidden="1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hidden="1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hidden="1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hidden="1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hidden="1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hidden="1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hidden="1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hidden="1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hidden="1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hidden="1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hidden="1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hidden="1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hidden="1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hidden="1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hidden="1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hidden="1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hidden="1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hidden="1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hidden="1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hidden="1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hidden="1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hidden="1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hidden="1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hidden="1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hidden="1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hidden="1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hidden="1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hidden="1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hidden="1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hidden="1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hidden="1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hidden="1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hidden="1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hidden="1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hidden="1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hidden="1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hidden="1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hidden="1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hidden="1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hidden="1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hidden="1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hidden="1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hidden="1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hidden="1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hidden="1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hidden="1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hidden="1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hidden="1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hidden="1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hidden="1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hidden="1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hidden="1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hidden="1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hidden="1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hidden="1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hidden="1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hidden="1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hidden="1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hidden="1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hidden="1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hidden="1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hidden="1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hidden="1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hidden="1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hidden="1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hidden="1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hidden="1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hidden="1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hidden="1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hidden="1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hidden="1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hidden="1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hidden="1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hidden="1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hidden="1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hidden="1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hidden="1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hidden="1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hidden="1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hidden="1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hidden="1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hidden="1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hidden="1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hidden="1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hidden="1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hidden="1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hidden="1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hidden="1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hidden="1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hidden="1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hidden="1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hidden="1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hidden="1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hidden="1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hidden="1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hidden="1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hidden="1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hidden="1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hidden="1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hidden="1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hidden="1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hidden="1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hidden="1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hidden="1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hidden="1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hidden="1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hidden="1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hidden="1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hidden="1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hidden="1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hidden="1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hidden="1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hidden="1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hidden="1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hidden="1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hidden="1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hidden="1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hidden="1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hidden="1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hidden="1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hidden="1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hidden="1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hidden="1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hidden="1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hidden="1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hidden="1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hidden="1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hidden="1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hidden="1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hidden="1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hidden="1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hidden="1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hidden="1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hidden="1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hidden="1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hidden="1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hidden="1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8EE3-5C9F-4F08-B6BE-233A14DB1F50}">
  <sheetPr codeName="Sheet3"/>
  <dimension ref="A1:J13"/>
  <sheetViews>
    <sheetView tabSelected="1" workbookViewId="0">
      <selection activeCell="H12" sqref="H12"/>
    </sheetView>
  </sheetViews>
  <sheetFormatPr defaultRowHeight="15"/>
  <cols>
    <col min="1" max="1" width="25.85546875" bestFit="1" customWidth="1"/>
    <col min="2" max="2" width="10.5703125" style="7" bestFit="1" customWidth="1"/>
    <col min="3" max="3" width="13.42578125" bestFit="1" customWidth="1"/>
    <col min="4" max="4" width="10.7109375" bestFit="1" customWidth="1"/>
    <col min="7" max="7" width="10" bestFit="1" customWidth="1"/>
    <col min="8" max="8" width="10.7109375" bestFit="1" customWidth="1"/>
  </cols>
  <sheetData>
    <row r="1" spans="1:10">
      <c r="A1" s="29" t="s">
        <v>4</v>
      </c>
      <c r="B1" s="32" t="s">
        <v>768</v>
      </c>
      <c r="C1" s="29" t="s">
        <v>769</v>
      </c>
      <c r="D1" s="29" t="s">
        <v>770</v>
      </c>
      <c r="E1" s="27"/>
    </row>
    <row r="2" spans="1:10">
      <c r="A2" s="30" t="s">
        <v>36</v>
      </c>
      <c r="B2" s="33">
        <f>COUNTIF(staff[Department],A2)</f>
        <v>24</v>
      </c>
      <c r="C2" s="31">
        <f>SUMIFS(staff[Salary],staff[Department],A2)</f>
        <v>2013215.1600000001</v>
      </c>
      <c r="D2" s="31">
        <f>AVERAGEIFS(staff[Salary],staff[Department],A2)</f>
        <v>83883.965000000011</v>
      </c>
    </row>
    <row r="3" spans="1:10">
      <c r="A3" s="30" t="s">
        <v>25</v>
      </c>
      <c r="B3" s="33">
        <f>COUNTIF(staff[Department],A3)</f>
        <v>26</v>
      </c>
      <c r="C3" s="31">
        <f>SUMIFS(staff[Salary],staff[Department],A3)</f>
        <v>2074326.9500000002</v>
      </c>
      <c r="D3" s="31">
        <f>AVERAGEIFS(staff[Salary],staff[Department],A3)</f>
        <v>79781.805769230778</v>
      </c>
      <c r="H3" s="28"/>
    </row>
    <row r="4" spans="1:10">
      <c r="A4" s="30" t="s">
        <v>16</v>
      </c>
      <c r="B4" s="33">
        <f>COUNTIF(staff[Department],A4)</f>
        <v>26</v>
      </c>
      <c r="C4" s="31">
        <f>SUMIFS(staff[Salary],staff[Department],A4)</f>
        <v>2131387.4899999998</v>
      </c>
      <c r="D4" s="31">
        <f>AVERAGEIFS(staff[Salary],staff[Department],A4)</f>
        <v>81976.441923076913</v>
      </c>
      <c r="H4" s="34"/>
    </row>
    <row r="5" spans="1:10">
      <c r="A5" s="30" t="s">
        <v>54</v>
      </c>
      <c r="B5" s="33">
        <f>COUNTIF(staff[Department],A5)</f>
        <v>12</v>
      </c>
      <c r="C5" s="31">
        <f>SUMIFS(staff[Salary],staff[Department],A5)</f>
        <v>773295.6</v>
      </c>
      <c r="D5" s="31">
        <f>AVERAGEIFS(staff[Salary],staff[Department],A5)</f>
        <v>64441.299999999996</v>
      </c>
    </row>
    <row r="6" spans="1:10">
      <c r="A6" s="30" t="s">
        <v>131</v>
      </c>
      <c r="B6" s="33">
        <f>COUNTIF(staff[Department],A6)</f>
        <v>21</v>
      </c>
      <c r="C6" s="31">
        <f>SUMIFS(staff[Salary],staff[Department],A6)</f>
        <v>1412092.87</v>
      </c>
      <c r="D6" s="31">
        <f>AVERAGEIFS(staff[Salary],staff[Department],A6)</f>
        <v>67242.51761904762</v>
      </c>
    </row>
    <row r="7" spans="1:10">
      <c r="A7" s="30" t="s">
        <v>101</v>
      </c>
      <c r="B7" s="33">
        <f>COUNTIF(staff[Department],A7)</f>
        <v>26</v>
      </c>
      <c r="C7" s="31">
        <f>SUMIFS(staff[Salary],staff[Department],A7)</f>
        <v>1814980.59</v>
      </c>
      <c r="D7" s="31">
        <f>AVERAGEIFS(staff[Salary],staff[Department],A7)</f>
        <v>69806.945769230777</v>
      </c>
      <c r="G7" s="26" t="s">
        <v>147</v>
      </c>
      <c r="I7">
        <f>MATCH(H10,staff[First Name],)</f>
        <v>77</v>
      </c>
    </row>
    <row r="8" spans="1:10">
      <c r="A8" s="30" t="s">
        <v>97</v>
      </c>
      <c r="B8" s="33">
        <f>COUNTIF(staff[Department],A8)</f>
        <v>22</v>
      </c>
      <c r="C8" s="31">
        <f>SUMIFS(staff[Salary],staff[Department],A8)</f>
        <v>1608406.3100000003</v>
      </c>
      <c r="D8" s="31">
        <f>AVERAGEIFS(staff[Salary],staff[Department],A8)</f>
        <v>73109.377727272746</v>
      </c>
    </row>
    <row r="9" spans="1:10">
      <c r="A9" s="30" t="s">
        <v>58</v>
      </c>
      <c r="B9" s="33">
        <f>COUNTIF(staff[Department],A9)</f>
        <v>18</v>
      </c>
      <c r="C9" s="31">
        <f>SUMIFS(staff[Salary],staff[Department],A9)</f>
        <v>1204393.78</v>
      </c>
      <c r="D9" s="31">
        <f>AVERAGEIFS(staff[Salary],staff[Department],A9)</f>
        <v>66910.765555555554</v>
      </c>
    </row>
    <row r="10" spans="1:10">
      <c r="A10" s="30" t="s">
        <v>32</v>
      </c>
      <c r="B10" s="33">
        <f>COUNTIF(staff[Department],A10)</f>
        <v>21</v>
      </c>
      <c r="C10" s="31">
        <f>SUMIFS(staff[Salary],staff[Department],A10)</f>
        <v>1568153.47</v>
      </c>
      <c r="D10" s="31">
        <f>AVERAGEIFS(staff[Salary],staff[Department],A10)</f>
        <v>74673.974761904756</v>
      </c>
      <c r="G10" t="s">
        <v>771</v>
      </c>
      <c r="H10" t="str">
        <f>VLOOKUP(G7,staff[],2,FALSE)</f>
        <v>Westbrook</v>
      </c>
      <c r="J10" t="str">
        <f>_xll.XLOOKUP(G7,staff[Emp ID],staff[First Name])</f>
        <v>Westbrook</v>
      </c>
    </row>
    <row r="11" spans="1:10">
      <c r="A11" s="30" t="s">
        <v>124</v>
      </c>
      <c r="B11" s="33">
        <f>COUNTIF(staff[Department],A11)</f>
        <v>29</v>
      </c>
      <c r="C11" s="31">
        <f>SUMIFS(staff[Salary],staff[Department],A11)</f>
        <v>2180192.8699999992</v>
      </c>
      <c r="D11" s="31">
        <f>AVERAGEIFS(staff[Salary],staff[Department],A11)</f>
        <v>75179.064482758593</v>
      </c>
    </row>
    <row r="12" spans="1:10">
      <c r="A12" s="30" t="s">
        <v>50</v>
      </c>
      <c r="B12" s="33">
        <f>COUNTIF(staff[Department],A12)</f>
        <v>17</v>
      </c>
      <c r="C12" s="31">
        <f>SUMIFS(staff[Salary],staff[Department],A12)</f>
        <v>1129351.75</v>
      </c>
      <c r="D12" s="31">
        <f>AVERAGEIFS(staff[Salary],staff[Department],A12)</f>
        <v>66432.455882352937</v>
      </c>
      <c r="G12" t="s">
        <v>772</v>
      </c>
      <c r="H12" t="str">
        <f>INDEX(staff[Emp ID],I7)</f>
        <v>SQ01620</v>
      </c>
    </row>
    <row r="13" spans="1:10">
      <c r="A13" s="30" t="s">
        <v>105</v>
      </c>
      <c r="B13" s="33">
        <f>COUNTIF(staff[Department],A13)</f>
        <v>18</v>
      </c>
      <c r="C13" s="31">
        <f>SUMIFS(staff[Salary],staff[Department],A13)</f>
        <v>1294147.72</v>
      </c>
      <c r="D13" s="31">
        <f>AVERAGEIFS(staff[Salary],staff[Department],A13)</f>
        <v>71897.095555555556</v>
      </c>
    </row>
  </sheetData>
  <sortState ref="G12:H12">
    <sortCondition ref="H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Concepts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ARAVINDAN S</cp:lastModifiedBy>
  <dcterms:created xsi:type="dcterms:W3CDTF">2021-03-14T20:21:32Z</dcterms:created>
  <dcterms:modified xsi:type="dcterms:W3CDTF">2025-05-18T14:14:31Z</dcterms:modified>
</cp:coreProperties>
</file>